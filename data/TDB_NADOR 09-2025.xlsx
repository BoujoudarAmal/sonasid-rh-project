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drawings/drawing4.xml" ContentType="application/vnd.openxmlformats-officedocument.drawingml.chartshape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sak\Downloads\"/>
    </mc:Choice>
  </mc:AlternateContent>
  <xr:revisionPtr revIDLastSave="0" documentId="13_ncr:1_{39168D62-D6FC-4111-902E-86C19C0195CB}" xr6:coauthVersionLast="47" xr6:coauthVersionMax="47" xr10:uidLastSave="{00000000-0000-0000-0000-000000000000}"/>
  <bookViews>
    <workbookView xWindow="-120" yWindow="-120" windowWidth="20730" windowHeight="11040" tabRatio="766" firstSheet="1" activeTab="3" xr2:uid="{00000000-000D-0000-FFFF-FFFF00000000}"/>
  </bookViews>
  <sheets>
    <sheet name="TDB" sheetId="11" r:id="rId1"/>
    <sheet name="EFFECTIF" sheetId="2" r:id="rId2"/>
    <sheet name="Feuil3" sheetId="15" r:id="rId3"/>
    <sheet name="Feuil1" sheetId="13" r:id="rId4"/>
    <sheet name="Pyramide age" sheetId="4" r:id="rId5"/>
    <sheet name="WFP" sheetId="8" r:id="rId6"/>
    <sheet name="Paramètres" sheetId="6" r:id="rId7"/>
    <sheet name="mouvement" sheetId="12" r:id="rId8"/>
    <sheet name="Feuil2" sheetId="14" r:id="rId9"/>
  </sheets>
  <externalReferences>
    <externalReference r:id="rId10"/>
    <externalReference r:id="rId11"/>
    <externalReference r:id="rId12"/>
  </externalReferences>
  <definedNames>
    <definedName name="_xlnm._FilterDatabase" localSheetId="1" hidden="1">EFFECTIF!$A$1:$T$159</definedName>
    <definedName name="_xlnm._FilterDatabase" localSheetId="3" hidden="1">Feuil1!$A$2:$AH$2</definedName>
    <definedName name="_xlnm._FilterDatabase" localSheetId="8" hidden="1">Feuil2!$A$1:$B$138</definedName>
    <definedName name="_xlnm._FilterDatabase" localSheetId="7" hidden="1">mouvement!$B$36:$H$36</definedName>
    <definedName name="Prime_1">[1]Données!#REF!</definedName>
    <definedName name="Prime_2">[1]Données!#REF!</definedName>
    <definedName name="Prime_3">[1]Données!#REF!</definedName>
    <definedName name="Salaire_annuel">[1]Données!#REF!</definedName>
    <definedName name="Salaire_mensuel">[1]Données!#REF!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2" l="1"/>
  <c r="F40" i="12"/>
  <c r="F39" i="12"/>
  <c r="AS8" i="4"/>
  <c r="Q3" i="2"/>
  <c r="Q5" i="2"/>
  <c r="Q13" i="2"/>
  <c r="Q17" i="2"/>
  <c r="Q47" i="2"/>
  <c r="Q55" i="2"/>
  <c r="Q74" i="2"/>
  <c r="Q80" i="2"/>
  <c r="Q84" i="2"/>
  <c r="Q95" i="2"/>
  <c r="C21" i="6"/>
  <c r="C22" i="6"/>
  <c r="T3" i="2"/>
  <c r="T5" i="2"/>
  <c r="T13" i="2"/>
  <c r="T17" i="2"/>
  <c r="T47" i="2"/>
  <c r="T55" i="2"/>
  <c r="T74" i="2"/>
  <c r="T80" i="2"/>
  <c r="T84" i="2"/>
  <c r="T95" i="2"/>
  <c r="T96" i="2"/>
  <c r="Q96" i="2"/>
  <c r="S7" i="2"/>
  <c r="S8" i="2"/>
  <c r="S9" i="2"/>
  <c r="S10" i="2"/>
  <c r="S11" i="2"/>
  <c r="S12" i="2"/>
  <c r="S14" i="2"/>
  <c r="S15" i="2"/>
  <c r="S16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8" i="2"/>
  <c r="S49" i="2"/>
  <c r="S50" i="2"/>
  <c r="S51" i="2"/>
  <c r="S52" i="2"/>
  <c r="S53" i="2"/>
  <c r="S54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5" i="2"/>
  <c r="S76" i="2"/>
  <c r="S77" i="2"/>
  <c r="S78" i="2"/>
  <c r="S79" i="2"/>
  <c r="S81" i="2"/>
  <c r="S82" i="2"/>
  <c r="S83" i="2"/>
  <c r="S85" i="2"/>
  <c r="S86" i="2"/>
  <c r="S87" i="2"/>
  <c r="S88" i="2"/>
  <c r="S89" i="2"/>
  <c r="S90" i="2"/>
  <c r="S91" i="2"/>
  <c r="S92" i="2"/>
  <c r="S93" i="2"/>
  <c r="S94" i="2"/>
  <c r="S97" i="2"/>
  <c r="S98" i="2"/>
  <c r="S99" i="2"/>
  <c r="S100" i="2"/>
  <c r="S101" i="2"/>
  <c r="T101" i="2" s="1"/>
  <c r="S102" i="2"/>
  <c r="T102" i="2" s="1"/>
  <c r="S103" i="2"/>
  <c r="T103" i="2" s="1"/>
  <c r="S104" i="2"/>
  <c r="T104" i="2" s="1"/>
  <c r="S105" i="2"/>
  <c r="T105" i="2" s="1"/>
  <c r="S106" i="2"/>
  <c r="T106" i="2" s="1"/>
  <c r="S107" i="2"/>
  <c r="T107" i="2" s="1"/>
  <c r="S108" i="2"/>
  <c r="T108" i="2" s="1"/>
  <c r="S109" i="2"/>
  <c r="T109" i="2" s="1"/>
  <c r="S110" i="2"/>
  <c r="T110" i="2" s="1"/>
  <c r="S111" i="2"/>
  <c r="T111" i="2" s="1"/>
  <c r="S112" i="2"/>
  <c r="T112" i="2" s="1"/>
  <c r="S113" i="2"/>
  <c r="T113" i="2" s="1"/>
  <c r="S114" i="2"/>
  <c r="T114" i="2" s="1"/>
  <c r="S115" i="2"/>
  <c r="T115" i="2" s="1"/>
  <c r="S116" i="2"/>
  <c r="T116" i="2" s="1"/>
  <c r="S117" i="2"/>
  <c r="T117" i="2" s="1"/>
  <c r="S118" i="2"/>
  <c r="T118" i="2" s="1"/>
  <c r="S119" i="2"/>
  <c r="T119" i="2" s="1"/>
  <c r="S120" i="2"/>
  <c r="T120" i="2" s="1"/>
  <c r="S121" i="2"/>
  <c r="T121" i="2" s="1"/>
  <c r="S122" i="2"/>
  <c r="T122" i="2" s="1"/>
  <c r="S123" i="2"/>
  <c r="T123" i="2" s="1"/>
  <c r="S124" i="2"/>
  <c r="T124" i="2" s="1"/>
  <c r="S125" i="2"/>
  <c r="T125" i="2" s="1"/>
  <c r="S126" i="2"/>
  <c r="T126" i="2" s="1"/>
  <c r="S127" i="2"/>
  <c r="T127" i="2" s="1"/>
  <c r="S128" i="2"/>
  <c r="T128" i="2" s="1"/>
  <c r="S129" i="2"/>
  <c r="T129" i="2" s="1"/>
  <c r="S130" i="2"/>
  <c r="T130" i="2" s="1"/>
  <c r="S131" i="2"/>
  <c r="T131" i="2" s="1"/>
  <c r="S132" i="2"/>
  <c r="T132" i="2" s="1"/>
  <c r="S133" i="2"/>
  <c r="T133" i="2" s="1"/>
  <c r="S134" i="2"/>
  <c r="T134" i="2" s="1"/>
  <c r="S135" i="2"/>
  <c r="T135" i="2" s="1"/>
  <c r="S136" i="2"/>
  <c r="T136" i="2" s="1"/>
  <c r="S137" i="2"/>
  <c r="T137" i="2" s="1"/>
  <c r="S138" i="2"/>
  <c r="T138" i="2" s="1"/>
  <c r="S139" i="2"/>
  <c r="T139" i="2" s="1"/>
  <c r="S140" i="2"/>
  <c r="T140" i="2" s="1"/>
  <c r="S141" i="2"/>
  <c r="T141" i="2" s="1"/>
  <c r="S142" i="2"/>
  <c r="T142" i="2" s="1"/>
  <c r="S143" i="2"/>
  <c r="T143" i="2" s="1"/>
  <c r="S144" i="2"/>
  <c r="T144" i="2" s="1"/>
  <c r="S145" i="2"/>
  <c r="T145" i="2" s="1"/>
  <c r="S146" i="2"/>
  <c r="T146" i="2" s="1"/>
  <c r="S147" i="2"/>
  <c r="T147" i="2" s="1"/>
  <c r="S148" i="2"/>
  <c r="T148" i="2" s="1"/>
  <c r="S149" i="2"/>
  <c r="T149" i="2" s="1"/>
  <c r="S150" i="2"/>
  <c r="T150" i="2" s="1"/>
  <c r="S151" i="2"/>
  <c r="T151" i="2" s="1"/>
  <c r="S152" i="2"/>
  <c r="T152" i="2" s="1"/>
  <c r="S153" i="2"/>
  <c r="T153" i="2" s="1"/>
  <c r="S154" i="2"/>
  <c r="T154" i="2" s="1"/>
  <c r="S155" i="2"/>
  <c r="T155" i="2" s="1"/>
  <c r="S156" i="2"/>
  <c r="T156" i="2" s="1"/>
  <c r="S157" i="2"/>
  <c r="T157" i="2" s="1"/>
  <c r="S158" i="2"/>
  <c r="T158" i="2" s="1"/>
  <c r="S159" i="2"/>
  <c r="T159" i="2" s="1"/>
  <c r="S3" i="2"/>
  <c r="S5" i="2"/>
  <c r="S13" i="2"/>
  <c r="S17" i="2"/>
  <c r="S47" i="2"/>
  <c r="S55" i="2"/>
  <c r="S74" i="2"/>
  <c r="S80" i="2"/>
  <c r="S84" i="2"/>
  <c r="S95" i="2"/>
  <c r="S96" i="2"/>
  <c r="M4" i="2"/>
  <c r="Q4" i="2" s="1"/>
  <c r="M6" i="2"/>
  <c r="Q6" i="2" s="1"/>
  <c r="M7" i="2"/>
  <c r="Q7" i="2" s="1"/>
  <c r="M8" i="2"/>
  <c r="Q8" i="2" s="1"/>
  <c r="M9" i="2"/>
  <c r="Q9" i="2" s="1"/>
  <c r="M10" i="2"/>
  <c r="Q10" i="2" s="1"/>
  <c r="M11" i="2"/>
  <c r="Q11" i="2" s="1"/>
  <c r="M12" i="2"/>
  <c r="Q12" i="2" s="1"/>
  <c r="M14" i="2"/>
  <c r="Q14" i="2" s="1"/>
  <c r="M15" i="2"/>
  <c r="Q15" i="2" s="1"/>
  <c r="M16" i="2"/>
  <c r="Q16" i="2" s="1"/>
  <c r="M18" i="2"/>
  <c r="Q18" i="2" s="1"/>
  <c r="M19" i="2"/>
  <c r="Q19" i="2" s="1"/>
  <c r="M20" i="2"/>
  <c r="Q20" i="2" s="1"/>
  <c r="M21" i="2"/>
  <c r="Q21" i="2" s="1"/>
  <c r="M22" i="2"/>
  <c r="Q22" i="2" s="1"/>
  <c r="M23" i="2"/>
  <c r="Q23" i="2" s="1"/>
  <c r="M24" i="2"/>
  <c r="Q24" i="2" s="1"/>
  <c r="M25" i="2"/>
  <c r="Q25" i="2" s="1"/>
  <c r="M26" i="2"/>
  <c r="Q26" i="2" s="1"/>
  <c r="M27" i="2"/>
  <c r="Q27" i="2" s="1"/>
  <c r="M28" i="2"/>
  <c r="Q28" i="2" s="1"/>
  <c r="M29" i="2"/>
  <c r="Q29" i="2" s="1"/>
  <c r="M30" i="2"/>
  <c r="Q30" i="2" s="1"/>
  <c r="M31" i="2"/>
  <c r="Q31" i="2" s="1"/>
  <c r="M32" i="2"/>
  <c r="Q32" i="2" s="1"/>
  <c r="M33" i="2"/>
  <c r="Q33" i="2" s="1"/>
  <c r="M34" i="2"/>
  <c r="Q34" i="2" s="1"/>
  <c r="M35" i="2"/>
  <c r="Q35" i="2" s="1"/>
  <c r="M36" i="2"/>
  <c r="Q36" i="2" s="1"/>
  <c r="M37" i="2"/>
  <c r="Q37" i="2" s="1"/>
  <c r="M38" i="2"/>
  <c r="Q38" i="2" s="1"/>
  <c r="M39" i="2"/>
  <c r="Q39" i="2" s="1"/>
  <c r="M40" i="2"/>
  <c r="Q40" i="2" s="1"/>
  <c r="M41" i="2"/>
  <c r="Q41" i="2" s="1"/>
  <c r="M42" i="2"/>
  <c r="Q42" i="2" s="1"/>
  <c r="M43" i="2"/>
  <c r="Q43" i="2" s="1"/>
  <c r="M44" i="2"/>
  <c r="Q44" i="2" s="1"/>
  <c r="M45" i="2"/>
  <c r="Q45" i="2" s="1"/>
  <c r="M46" i="2"/>
  <c r="Q46" i="2" s="1"/>
  <c r="M48" i="2"/>
  <c r="Q48" i="2" s="1"/>
  <c r="M49" i="2"/>
  <c r="Q49" i="2" s="1"/>
  <c r="M50" i="2"/>
  <c r="Q50" i="2" s="1"/>
  <c r="M51" i="2"/>
  <c r="Q51" i="2" s="1"/>
  <c r="M52" i="2"/>
  <c r="Q52" i="2" s="1"/>
  <c r="M53" i="2"/>
  <c r="Q53" i="2" s="1"/>
  <c r="M54" i="2"/>
  <c r="Q54" i="2" s="1"/>
  <c r="M56" i="2"/>
  <c r="Q56" i="2" s="1"/>
  <c r="M57" i="2"/>
  <c r="Q57" i="2" s="1"/>
  <c r="M58" i="2"/>
  <c r="Q58" i="2" s="1"/>
  <c r="M59" i="2"/>
  <c r="Q59" i="2" s="1"/>
  <c r="M60" i="2"/>
  <c r="Q60" i="2" s="1"/>
  <c r="M61" i="2"/>
  <c r="Q61" i="2" s="1"/>
  <c r="M62" i="2"/>
  <c r="Q62" i="2" s="1"/>
  <c r="M63" i="2"/>
  <c r="Q63" i="2" s="1"/>
  <c r="M64" i="2"/>
  <c r="Q64" i="2" s="1"/>
  <c r="M65" i="2"/>
  <c r="Q65" i="2" s="1"/>
  <c r="M66" i="2"/>
  <c r="Q66" i="2" s="1"/>
  <c r="M67" i="2"/>
  <c r="Q67" i="2" s="1"/>
  <c r="M68" i="2"/>
  <c r="Q68" i="2" s="1"/>
  <c r="M69" i="2"/>
  <c r="Q69" i="2" s="1"/>
  <c r="M70" i="2"/>
  <c r="Q70" i="2" s="1"/>
  <c r="M71" i="2"/>
  <c r="Q71" i="2" s="1"/>
  <c r="M72" i="2"/>
  <c r="Q72" i="2" s="1"/>
  <c r="M73" i="2"/>
  <c r="Q73" i="2" s="1"/>
  <c r="M75" i="2"/>
  <c r="Q75" i="2" s="1"/>
  <c r="M76" i="2"/>
  <c r="Q76" i="2" s="1"/>
  <c r="M77" i="2"/>
  <c r="Q77" i="2" s="1"/>
  <c r="M78" i="2"/>
  <c r="Q78" i="2" s="1"/>
  <c r="M79" i="2"/>
  <c r="Q79" i="2" s="1"/>
  <c r="M81" i="2"/>
  <c r="Q81" i="2" s="1"/>
  <c r="M82" i="2"/>
  <c r="Q82" i="2" s="1"/>
  <c r="M83" i="2"/>
  <c r="Q83" i="2" s="1"/>
  <c r="M85" i="2"/>
  <c r="Q85" i="2" s="1"/>
  <c r="M86" i="2"/>
  <c r="Q86" i="2" s="1"/>
  <c r="M87" i="2"/>
  <c r="Q87" i="2" s="1"/>
  <c r="M88" i="2"/>
  <c r="Q88" i="2" s="1"/>
  <c r="M89" i="2"/>
  <c r="Q89" i="2" s="1"/>
  <c r="M90" i="2"/>
  <c r="Q90" i="2" s="1"/>
  <c r="M91" i="2"/>
  <c r="Q91" i="2" s="1"/>
  <c r="M92" i="2"/>
  <c r="Q92" i="2" s="1"/>
  <c r="M93" i="2"/>
  <c r="Q93" i="2" s="1"/>
  <c r="M94" i="2"/>
  <c r="Q94" i="2" s="1"/>
  <c r="M97" i="2"/>
  <c r="Q97" i="2" s="1"/>
  <c r="M98" i="2"/>
  <c r="Q98" i="2" s="1"/>
  <c r="M99" i="2"/>
  <c r="Q99" i="2" s="1"/>
  <c r="M100" i="2"/>
  <c r="Q100" i="2" s="1"/>
  <c r="M101" i="2"/>
  <c r="Q101" i="2" s="1"/>
  <c r="M102" i="2"/>
  <c r="Q102" i="2" s="1"/>
  <c r="M103" i="2"/>
  <c r="Q103" i="2" s="1"/>
  <c r="M104" i="2"/>
  <c r="Q104" i="2" s="1"/>
  <c r="M105" i="2"/>
  <c r="Q105" i="2" s="1"/>
  <c r="M106" i="2"/>
  <c r="Q106" i="2" s="1"/>
  <c r="M107" i="2"/>
  <c r="Q107" i="2" s="1"/>
  <c r="M108" i="2"/>
  <c r="Q108" i="2" s="1"/>
  <c r="M109" i="2"/>
  <c r="Q109" i="2" s="1"/>
  <c r="M110" i="2"/>
  <c r="Q110" i="2" s="1"/>
  <c r="M111" i="2"/>
  <c r="Q111" i="2" s="1"/>
  <c r="M112" i="2"/>
  <c r="Q112" i="2" s="1"/>
  <c r="M113" i="2"/>
  <c r="Q113" i="2" s="1"/>
  <c r="M114" i="2"/>
  <c r="Q114" i="2" s="1"/>
  <c r="M115" i="2"/>
  <c r="Q115" i="2" s="1"/>
  <c r="M116" i="2"/>
  <c r="Q116" i="2" s="1"/>
  <c r="M117" i="2"/>
  <c r="Q117" i="2" s="1"/>
  <c r="M118" i="2"/>
  <c r="Q118" i="2" s="1"/>
  <c r="M119" i="2"/>
  <c r="Q119" i="2" s="1"/>
  <c r="M120" i="2"/>
  <c r="Q120" i="2" s="1"/>
  <c r="M121" i="2"/>
  <c r="Q121" i="2" s="1"/>
  <c r="M122" i="2"/>
  <c r="Q122" i="2" s="1"/>
  <c r="M123" i="2"/>
  <c r="Q123" i="2" s="1"/>
  <c r="M124" i="2"/>
  <c r="Q124" i="2" s="1"/>
  <c r="M125" i="2"/>
  <c r="Q125" i="2" s="1"/>
  <c r="M126" i="2"/>
  <c r="Q126" i="2" s="1"/>
  <c r="M127" i="2"/>
  <c r="Q127" i="2" s="1"/>
  <c r="M128" i="2"/>
  <c r="Q128" i="2" s="1"/>
  <c r="M129" i="2"/>
  <c r="Q129" i="2" s="1"/>
  <c r="M130" i="2"/>
  <c r="Q130" i="2" s="1"/>
  <c r="M131" i="2"/>
  <c r="Q131" i="2" s="1"/>
  <c r="M132" i="2"/>
  <c r="Q132" i="2" s="1"/>
  <c r="M133" i="2"/>
  <c r="Q133" i="2" s="1"/>
  <c r="M134" i="2"/>
  <c r="Q134" i="2" s="1"/>
  <c r="M135" i="2"/>
  <c r="Q135" i="2" s="1"/>
  <c r="M136" i="2"/>
  <c r="Q136" i="2" s="1"/>
  <c r="M137" i="2"/>
  <c r="Q137" i="2" s="1"/>
  <c r="M138" i="2"/>
  <c r="Q138" i="2" s="1"/>
  <c r="M139" i="2"/>
  <c r="Q139" i="2" s="1"/>
  <c r="M140" i="2"/>
  <c r="Q140" i="2" s="1"/>
  <c r="M141" i="2"/>
  <c r="Q141" i="2" s="1"/>
  <c r="M142" i="2"/>
  <c r="Q142" i="2" s="1"/>
  <c r="M143" i="2"/>
  <c r="Q143" i="2" s="1"/>
  <c r="M144" i="2"/>
  <c r="Q144" i="2" s="1"/>
  <c r="M145" i="2"/>
  <c r="Q145" i="2" s="1"/>
  <c r="M146" i="2"/>
  <c r="Q146" i="2" s="1"/>
  <c r="M147" i="2"/>
  <c r="Q147" i="2" s="1"/>
  <c r="M148" i="2"/>
  <c r="Q148" i="2" s="1"/>
  <c r="M149" i="2"/>
  <c r="Q149" i="2" s="1"/>
  <c r="M150" i="2"/>
  <c r="Q150" i="2" s="1"/>
  <c r="M151" i="2"/>
  <c r="Q151" i="2" s="1"/>
  <c r="M152" i="2"/>
  <c r="Q152" i="2" s="1"/>
  <c r="M153" i="2"/>
  <c r="Q153" i="2" s="1"/>
  <c r="M154" i="2"/>
  <c r="Q154" i="2" s="1"/>
  <c r="M155" i="2"/>
  <c r="Q155" i="2" s="1"/>
  <c r="M156" i="2"/>
  <c r="Q156" i="2" s="1"/>
  <c r="M157" i="2"/>
  <c r="Q157" i="2" s="1"/>
  <c r="M158" i="2"/>
  <c r="Q158" i="2" s="1"/>
  <c r="M159" i="2"/>
  <c r="Q159" i="2" s="1"/>
  <c r="M3" i="2"/>
  <c r="M5" i="2"/>
  <c r="M13" i="2"/>
  <c r="M17" i="2"/>
  <c r="M47" i="2"/>
  <c r="M55" i="2"/>
  <c r="M74" i="2"/>
  <c r="M80" i="2"/>
  <c r="M84" i="2"/>
  <c r="M95" i="2"/>
  <c r="M96" i="2"/>
  <c r="M2" i="2"/>
  <c r="Q2" i="2" s="1"/>
  <c r="S2" i="2"/>
  <c r="E4" i="11"/>
  <c r="F4" i="11"/>
  <c r="AR20" i="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2" i="14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4" i="12"/>
  <c r="F33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D4" i="12"/>
  <c r="C4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8" i="12"/>
  <c r="C38" i="12"/>
  <c r="D37" i="12"/>
  <c r="C37" i="12"/>
  <c r="F49" i="12"/>
  <c r="F38" i="12"/>
  <c r="F41" i="12"/>
  <c r="F42" i="12"/>
  <c r="F43" i="12"/>
  <c r="F44" i="12"/>
  <c r="F45" i="12"/>
  <c r="F46" i="12"/>
  <c r="F47" i="12"/>
  <c r="F48" i="12"/>
  <c r="F37" i="12"/>
  <c r="H38" i="12"/>
  <c r="H40" i="12"/>
  <c r="H41" i="12"/>
  <c r="H42" i="12"/>
  <c r="H43" i="12"/>
  <c r="H44" i="12"/>
  <c r="H45" i="12"/>
  <c r="H46" i="12"/>
  <c r="H47" i="12"/>
  <c r="H48" i="12"/>
  <c r="H37" i="12"/>
  <c r="G44" i="12"/>
  <c r="G43" i="12"/>
  <c r="G42" i="12"/>
  <c r="G41" i="12"/>
  <c r="G40" i="12"/>
  <c r="G38" i="12"/>
  <c r="G37" i="12"/>
  <c r="R95" i="2"/>
  <c r="R122" i="2"/>
  <c r="R115" i="2"/>
  <c r="R113" i="2"/>
  <c r="I122" i="2"/>
  <c r="I115" i="2"/>
  <c r="I113" i="2"/>
  <c r="I95" i="2"/>
  <c r="R114" i="2"/>
  <c r="R116" i="2"/>
  <c r="R117" i="2"/>
  <c r="R118" i="2"/>
  <c r="R119" i="2"/>
  <c r="R120" i="2"/>
  <c r="R121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I114" i="2"/>
  <c r="I116" i="2"/>
  <c r="I117" i="2"/>
  <c r="I118" i="2"/>
  <c r="I119" i="2"/>
  <c r="I120" i="2"/>
  <c r="I121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G45" i="12" l="1"/>
  <c r="G46" i="12"/>
  <c r="G47" i="12"/>
  <c r="G48" i="12"/>
  <c r="C4" i="8"/>
  <c r="D4" i="8" s="1"/>
  <c r="E4" i="8" s="1"/>
  <c r="F4" i="8" s="1"/>
  <c r="K4" i="11"/>
  <c r="R62" i="2"/>
  <c r="R68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I62" i="2"/>
  <c r="I68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3" i="2"/>
  <c r="I64" i="2"/>
  <c r="I65" i="2"/>
  <c r="I66" i="2"/>
  <c r="I67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6" i="2"/>
  <c r="I97" i="2"/>
  <c r="AG7" i="4"/>
  <c r="AH7" i="4"/>
  <c r="AR14" i="4" l="1"/>
  <c r="AR16" i="4" s="1"/>
  <c r="C4" i="11" s="1"/>
  <c r="G4" i="8"/>
  <c r="M4" i="11"/>
  <c r="G4" i="11"/>
  <c r="AR23" i="4"/>
  <c r="S4" i="2" l="1"/>
  <c r="S6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3" i="2"/>
  <c r="R64" i="2"/>
  <c r="R65" i="2"/>
  <c r="R66" i="2"/>
  <c r="R67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6" i="2"/>
  <c r="R97" i="2"/>
  <c r="C13" i="6"/>
  <c r="C14" i="6"/>
  <c r="C15" i="6"/>
  <c r="C16" i="6"/>
  <c r="C17" i="6"/>
  <c r="C18" i="6"/>
  <c r="C19" i="6"/>
  <c r="C20" i="6"/>
  <c r="C30" i="6"/>
  <c r="C31" i="6"/>
  <c r="C32" i="6"/>
  <c r="C33" i="6"/>
  <c r="C34" i="6"/>
  <c r="C35" i="6"/>
  <c r="C36" i="6"/>
  <c r="C37" i="6"/>
  <c r="C38" i="6"/>
  <c r="A42" i="6"/>
  <c r="A43" i="6"/>
  <c r="A44" i="6"/>
  <c r="I4" i="11" l="1"/>
  <c r="T10" i="2"/>
  <c r="T11" i="2"/>
  <c r="T9" i="2"/>
  <c r="T2" i="2"/>
  <c r="T7" i="2"/>
  <c r="T8" i="2"/>
  <c r="T94" i="2"/>
  <c r="T92" i="2"/>
  <c r="T98" i="2"/>
  <c r="T99" i="2"/>
  <c r="T88" i="2"/>
  <c r="T90" i="2"/>
  <c r="T89" i="2"/>
  <c r="T97" i="2"/>
  <c r="T93" i="2"/>
  <c r="T91" i="2"/>
  <c r="T100" i="2"/>
  <c r="T66" i="2"/>
  <c r="T67" i="2"/>
  <c r="T73" i="2"/>
  <c r="T68" i="2"/>
  <c r="T70" i="2"/>
  <c r="T69" i="2"/>
  <c r="T65" i="2"/>
  <c r="T71" i="2"/>
  <c r="T75" i="2"/>
  <c r="T72" i="2"/>
  <c r="T15" i="2"/>
  <c r="T19" i="2"/>
  <c r="T21" i="2"/>
  <c r="T12" i="2"/>
  <c r="T16" i="2"/>
  <c r="T20" i="2"/>
  <c r="T23" i="2"/>
  <c r="T18" i="2"/>
  <c r="T14" i="2"/>
  <c r="T22" i="2"/>
  <c r="T53" i="2"/>
  <c r="T48" i="2"/>
  <c r="T30" i="2"/>
  <c r="T58" i="2"/>
  <c r="T37" i="2"/>
  <c r="T25" i="2"/>
  <c r="T46" i="2"/>
  <c r="T39" i="2"/>
  <c r="T33" i="2"/>
  <c r="T42" i="2"/>
  <c r="T51" i="2"/>
  <c r="T52" i="2"/>
  <c r="T28" i="2"/>
  <c r="T45" i="2"/>
  <c r="T50" i="2"/>
  <c r="T40" i="2"/>
  <c r="T26" i="2"/>
  <c r="T57" i="2"/>
  <c r="T32" i="2"/>
  <c r="T24" i="2"/>
  <c r="T29" i="2"/>
  <c r="T27" i="2"/>
  <c r="T35" i="2"/>
  <c r="T61" i="2"/>
  <c r="T41" i="2"/>
  <c r="T56" i="2"/>
  <c r="T31" i="2"/>
  <c r="T44" i="2"/>
  <c r="T49" i="2"/>
  <c r="T38" i="2"/>
  <c r="T59" i="2"/>
  <c r="T36" i="2"/>
  <c r="T60" i="2"/>
  <c r="T34" i="2"/>
  <c r="T43" i="2"/>
  <c r="T54" i="2"/>
  <c r="T87" i="2"/>
  <c r="T86" i="2"/>
  <c r="T83" i="2"/>
  <c r="T85" i="2"/>
  <c r="T64" i="2"/>
  <c r="T63" i="2"/>
  <c r="T62" i="2"/>
  <c r="T6" i="2"/>
  <c r="T76" i="2"/>
  <c r="T81" i="2"/>
  <c r="T79" i="2"/>
  <c r="T82" i="2"/>
  <c r="T78" i="2"/>
  <c r="T77" i="2"/>
  <c r="T4" i="2"/>
  <c r="AW4" i="4"/>
  <c r="AT20" i="4"/>
  <c r="AS20" i="4"/>
  <c r="AX4" i="4"/>
  <c r="L30" i="11"/>
  <c r="L29" i="11"/>
  <c r="L28" i="11"/>
  <c r="J30" i="11"/>
  <c r="J28" i="11"/>
  <c r="J29" i="11"/>
  <c r="AK5" i="4" l="1"/>
  <c r="AM9" i="4"/>
  <c r="AK12" i="4"/>
  <c r="AL5" i="4"/>
  <c r="AM5" i="4" s="1"/>
  <c r="AL13" i="4"/>
  <c r="AL12" i="4"/>
  <c r="AM12" i="4" s="1"/>
  <c r="AM13" i="4"/>
  <c r="AL7" i="4"/>
  <c r="AM7" i="4" s="1"/>
  <c r="AM11" i="4"/>
  <c r="AM10" i="4"/>
  <c r="AK13" i="4"/>
  <c r="AK11" i="4"/>
  <c r="AL4" i="4"/>
  <c r="AM4" i="4" s="1"/>
  <c r="AL11" i="4"/>
  <c r="AL10" i="4"/>
  <c r="AL9" i="4"/>
  <c r="AL8" i="4"/>
  <c r="AM8" i="4" s="1"/>
  <c r="AL6" i="4"/>
  <c r="AM6" i="4" s="1"/>
  <c r="AK7" i="4"/>
  <c r="AK10" i="4"/>
  <c r="AK9" i="4"/>
  <c r="AK8" i="4"/>
  <c r="AK4" i="4"/>
  <c r="AK6" i="4"/>
  <c r="N30" i="11"/>
  <c r="N29" i="11"/>
  <c r="J31" i="11"/>
  <c r="N28" i="11"/>
  <c r="L31" i="11"/>
  <c r="AY4" i="4"/>
  <c r="AX5" i="4" s="1"/>
  <c r="AL14" i="4" l="1"/>
  <c r="AL15" i="4" s="1"/>
  <c r="AK14" i="4"/>
  <c r="AK15" i="4" s="1"/>
  <c r="N31" i="11"/>
  <c r="AW5" i="4"/>
  <c r="D4" i="4" l="1"/>
  <c r="J5" i="4"/>
  <c r="K5" i="4" s="1"/>
  <c r="D6" i="4"/>
  <c r="D8" i="4"/>
  <c r="S8" i="4"/>
  <c r="N9" i="4"/>
  <c r="I10" i="4"/>
  <c r="S11" i="4"/>
  <c r="N7" i="4"/>
  <c r="E4" i="4"/>
  <c r="S4" i="4"/>
  <c r="E6" i="4"/>
  <c r="S6" i="4"/>
  <c r="E8" i="4"/>
  <c r="J11" i="4" s="1"/>
  <c r="K11" i="4" s="1"/>
  <c r="T8" i="4"/>
  <c r="U8" i="4" s="1"/>
  <c r="O9" i="4"/>
  <c r="P9" i="4" s="1"/>
  <c r="D11" i="4"/>
  <c r="N12" i="4"/>
  <c r="I8" i="4"/>
  <c r="T4" i="4"/>
  <c r="U4" i="4" s="1"/>
  <c r="N5" i="4"/>
  <c r="T6" i="4"/>
  <c r="U6" i="4" s="1"/>
  <c r="I4" i="4"/>
  <c r="O5" i="4"/>
  <c r="P5" i="4" s="1"/>
  <c r="I6" i="4"/>
  <c r="O7" i="4"/>
  <c r="P7" i="4" s="1"/>
  <c r="D9" i="4"/>
  <c r="S9" i="4"/>
  <c r="N10" i="4"/>
  <c r="I11" i="4"/>
  <c r="N8" i="4"/>
  <c r="I7" i="4"/>
  <c r="J4" i="4"/>
  <c r="K4" i="4" s="1"/>
  <c r="D5" i="4"/>
  <c r="J6" i="4"/>
  <c r="K6" i="4" s="1"/>
  <c r="D7" i="4"/>
  <c r="E9" i="4"/>
  <c r="J12" i="4" s="1"/>
  <c r="K12" i="4" s="1"/>
  <c r="T9" i="4"/>
  <c r="U9" i="4" s="1"/>
  <c r="O10" i="4"/>
  <c r="P10" i="4" s="1"/>
  <c r="D12" i="4"/>
  <c r="S12" i="4"/>
  <c r="I9" i="4"/>
  <c r="I5" i="4"/>
  <c r="E5" i="4"/>
  <c r="S5" i="4"/>
  <c r="S7" i="4"/>
  <c r="N4" i="4"/>
  <c r="T5" i="4"/>
  <c r="U5" i="4" s="1"/>
  <c r="N6" i="4"/>
  <c r="T7" i="4"/>
  <c r="U7" i="4" s="1"/>
  <c r="O8" i="4"/>
  <c r="P8" i="4" s="1"/>
  <c r="D10" i="4"/>
  <c r="S10" i="4"/>
  <c r="N11" i="4"/>
  <c r="I12" i="4"/>
  <c r="E11" i="4"/>
  <c r="T10" i="4"/>
  <c r="U10" i="4" s="1"/>
  <c r="T11" i="4"/>
  <c r="U11" i="4" s="1"/>
  <c r="O12" i="4"/>
  <c r="P12" i="4" s="1"/>
  <c r="E12" i="4"/>
  <c r="O11" i="4"/>
  <c r="P11" i="4" s="1"/>
  <c r="E7" i="4"/>
  <c r="T12" i="4"/>
  <c r="U12" i="4" s="1"/>
  <c r="E10" i="4"/>
  <c r="O4" i="4"/>
  <c r="P4" i="4" s="1"/>
  <c r="O6" i="4"/>
  <c r="P6" i="4" s="1"/>
  <c r="AD5" i="4"/>
  <c r="AE5" i="4" s="1"/>
  <c r="AD6" i="4"/>
  <c r="AE6" i="4" s="1"/>
  <c r="AD7" i="4"/>
  <c r="AE7" i="4" s="1"/>
  <c r="AD8" i="4"/>
  <c r="AE8" i="4" s="1"/>
  <c r="AD9" i="4"/>
  <c r="AE9" i="4" s="1"/>
  <c r="AD10" i="4"/>
  <c r="AE10" i="4" s="1"/>
  <c r="AD11" i="4"/>
  <c r="AE11" i="4" s="1"/>
  <c r="AD4" i="4"/>
  <c r="AC5" i="4"/>
  <c r="AC6" i="4"/>
  <c r="AC7" i="4"/>
  <c r="AC8" i="4"/>
  <c r="AC9" i="4"/>
  <c r="AC10" i="4"/>
  <c r="AC11" i="4"/>
  <c r="AC4" i="4"/>
  <c r="J10" i="4" l="1"/>
  <c r="K10" i="4" s="1"/>
  <c r="F7" i="4"/>
  <c r="J8" i="4"/>
  <c r="K8" i="4" s="1"/>
  <c r="F5" i="4"/>
  <c r="F6" i="4"/>
  <c r="J9" i="4"/>
  <c r="K9" i="4" s="1"/>
  <c r="J7" i="4"/>
  <c r="K7" i="4" s="1"/>
  <c r="F4" i="4"/>
  <c r="AE4" i="4"/>
  <c r="AD12" i="4"/>
  <c r="AD13" i="4" s="1"/>
  <c r="AC12" i="4"/>
  <c r="AC13" i="4" s="1"/>
</calcChain>
</file>

<file path=xl/sharedStrings.xml><?xml version="1.0" encoding="utf-8"?>
<sst xmlns="http://schemas.openxmlformats.org/spreadsheetml/2006/main" count="3493" uniqueCount="496">
  <si>
    <t>TDB RH NADOR -12/25</t>
  </si>
  <si>
    <t>Turnover</t>
  </si>
  <si>
    <t>CDI</t>
  </si>
  <si>
    <t>ANAPEC</t>
  </si>
  <si>
    <t>% Encadrement</t>
  </si>
  <si>
    <t>Séniorité</t>
  </si>
  <si>
    <t>Recrutement</t>
  </si>
  <si>
    <t>Depart</t>
  </si>
  <si>
    <t>Homme</t>
  </si>
  <si>
    <t>Femme</t>
  </si>
  <si>
    <t>Total</t>
  </si>
  <si>
    <t>AM</t>
  </si>
  <si>
    <t>EMPLOYE</t>
  </si>
  <si>
    <t>CADRE</t>
  </si>
  <si>
    <t>MATRICULE</t>
  </si>
  <si>
    <t>NOM</t>
  </si>
  <si>
    <t>PRENOM</t>
  </si>
  <si>
    <t>Lieu de travail</t>
  </si>
  <si>
    <t>Collège</t>
  </si>
  <si>
    <t>DEB_CONTRAT</t>
  </si>
  <si>
    <t>C cout</t>
  </si>
  <si>
    <t>Date de naissance</t>
  </si>
  <si>
    <t>Date retraite</t>
  </si>
  <si>
    <t>Date de départ</t>
  </si>
  <si>
    <t>Toujours à la sonasid la sonasid</t>
  </si>
  <si>
    <t>Motif</t>
  </si>
  <si>
    <t>Âge</t>
  </si>
  <si>
    <t>Sexe</t>
  </si>
  <si>
    <t>Type contrat</t>
  </si>
  <si>
    <t>affectation</t>
  </si>
  <si>
    <t>pyramide age</t>
  </si>
  <si>
    <t>H/F</t>
  </si>
  <si>
    <t>ANCIENNTE</t>
  </si>
  <si>
    <t>pyramide ANCIENNTE</t>
  </si>
  <si>
    <t>BELHASSANI</t>
  </si>
  <si>
    <t>OMAR</t>
  </si>
  <si>
    <t>Nador</t>
  </si>
  <si>
    <t>Maitrise</t>
  </si>
  <si>
    <t>"2MAI10</t>
  </si>
  <si>
    <t>Mr</t>
  </si>
  <si>
    <t>NADOR</t>
  </si>
  <si>
    <t>CHOUA</t>
  </si>
  <si>
    <t>MOHAMED</t>
  </si>
  <si>
    <t xml:space="preserve">"2NAD01 </t>
  </si>
  <si>
    <t>Retraite</t>
  </si>
  <si>
    <t>AMDARI</t>
  </si>
  <si>
    <t>MUSTAPHA</t>
  </si>
  <si>
    <t>"2FIB01</t>
  </si>
  <si>
    <t>EL KADAOUI</t>
  </si>
  <si>
    <t>HASSAN</t>
  </si>
  <si>
    <t>"2PRO05</t>
  </si>
  <si>
    <t>LAMRINI</t>
  </si>
  <si>
    <t>MIMOUN</t>
  </si>
  <si>
    <t>"2PRO02</t>
  </si>
  <si>
    <t>RHANJATI</t>
  </si>
  <si>
    <t>Employé</t>
  </si>
  <si>
    <t>"2PRO06</t>
  </si>
  <si>
    <t>BOUAAMAMA</t>
  </si>
  <si>
    <t>BOUCHTA</t>
  </si>
  <si>
    <t>AKALAI</t>
  </si>
  <si>
    <t>ALAOUI</t>
  </si>
  <si>
    <t>MOULAY MUSTAPHA</t>
  </si>
  <si>
    <t>EL AMMARI</t>
  </si>
  <si>
    <t>AOUANE</t>
  </si>
  <si>
    <t>ABDENBI</t>
  </si>
  <si>
    <t>"2MAI09</t>
  </si>
  <si>
    <t>EL IDRISSI</t>
  </si>
  <si>
    <t>NOUREDDINE</t>
  </si>
  <si>
    <t>"2MAG01</t>
  </si>
  <si>
    <t>ALJI</t>
  </si>
  <si>
    <t>MAHMOUD</t>
  </si>
  <si>
    <t>"2MAI01</t>
  </si>
  <si>
    <t>IATISSAMI</t>
  </si>
  <si>
    <t>MOUNIB</t>
  </si>
  <si>
    <t>ABDELATI</t>
  </si>
  <si>
    <t>"2MAI02</t>
  </si>
  <si>
    <t>EL HAFHAFI</t>
  </si>
  <si>
    <t>ABDELAZIZ</t>
  </si>
  <si>
    <t>JAOUAL</t>
  </si>
  <si>
    <t>SAID</t>
  </si>
  <si>
    <t>AKAAOUCH</t>
  </si>
  <si>
    <t>ALI</t>
  </si>
  <si>
    <t>"2MAI03</t>
  </si>
  <si>
    <t>OUCHNI</t>
  </si>
  <si>
    <t>HAMID</t>
  </si>
  <si>
    <t>ABDAIM</t>
  </si>
  <si>
    <t>LAHOUCINE</t>
  </si>
  <si>
    <t>"2PRO08</t>
  </si>
  <si>
    <t>AZZAMMOURI</t>
  </si>
  <si>
    <t>LAARBI</t>
  </si>
  <si>
    <t>TALAA</t>
  </si>
  <si>
    <t>M'HAMMED</t>
  </si>
  <si>
    <t>"2PRO03</t>
  </si>
  <si>
    <t>TAHIRI</t>
  </si>
  <si>
    <t>ABDELKADER</t>
  </si>
  <si>
    <t>ARRAISS</t>
  </si>
  <si>
    <t>ABDESLAM</t>
  </si>
  <si>
    <t>AZIZI</t>
  </si>
  <si>
    <t>BEN OTMAN</t>
  </si>
  <si>
    <t>JAMAL</t>
  </si>
  <si>
    <t>"2SGX01</t>
  </si>
  <si>
    <t>LAAZIBI</t>
  </si>
  <si>
    <t>MAZOUJI</t>
  </si>
  <si>
    <t>"2MAI06</t>
  </si>
  <si>
    <t>AARAB</t>
  </si>
  <si>
    <t>ABARCHI</t>
  </si>
  <si>
    <t>AHMED</t>
  </si>
  <si>
    <t>ABDESSADKI</t>
  </si>
  <si>
    <t>ABDERRAHMAN</t>
  </si>
  <si>
    <t>ADDAHRI</t>
  </si>
  <si>
    <t>ABDELOUAHID</t>
  </si>
  <si>
    <t>AGARTIT</t>
  </si>
  <si>
    <t>AOURAM</t>
  </si>
  <si>
    <t>ASGHIR</t>
  </si>
  <si>
    <t>ATAF</t>
  </si>
  <si>
    <t>BOUDIOUAN</t>
  </si>
  <si>
    <t>BOUHAITI</t>
  </si>
  <si>
    <t>CHERKI</t>
  </si>
  <si>
    <t>BRIMO</t>
  </si>
  <si>
    <t>FARID</t>
  </si>
  <si>
    <t>CHAKKOU</t>
  </si>
  <si>
    <t>FANA</t>
  </si>
  <si>
    <t>HADDOUCHI</t>
  </si>
  <si>
    <t>SALAH</t>
  </si>
  <si>
    <t>ICH CHEN</t>
  </si>
  <si>
    <t>ABDELLAH</t>
  </si>
  <si>
    <t>JIYAR</t>
  </si>
  <si>
    <t>EL MILOUD</t>
  </si>
  <si>
    <t>KOUBAA</t>
  </si>
  <si>
    <t>LAGHRABLI</t>
  </si>
  <si>
    <t>LAZREG</t>
  </si>
  <si>
    <t>"2MAI04</t>
  </si>
  <si>
    <t>MACHROUT</t>
  </si>
  <si>
    <t>RACHID</t>
  </si>
  <si>
    <t>OUHADDOU</t>
  </si>
  <si>
    <t>RADI</t>
  </si>
  <si>
    <t>ABDELKRIM</t>
  </si>
  <si>
    <t>ROUMANI</t>
  </si>
  <si>
    <t>BRAHIM</t>
  </si>
  <si>
    <t>TALEB</t>
  </si>
  <si>
    <t>MOHAMMED</t>
  </si>
  <si>
    <t>CHOURI</t>
  </si>
  <si>
    <t>Démission</t>
  </si>
  <si>
    <t>EL BOUJADAYNI</t>
  </si>
  <si>
    <t>AHMED AZDIN</t>
  </si>
  <si>
    <t>ET-TAZI</t>
  </si>
  <si>
    <t>"2MGX01</t>
  </si>
  <si>
    <t>LAOUKILI</t>
  </si>
  <si>
    <t>LAKHAL</t>
  </si>
  <si>
    <t>"2PRO04</t>
  </si>
  <si>
    <t>EL FARES</t>
  </si>
  <si>
    <t>ABDELRHANI</t>
  </si>
  <si>
    <t>ER RAJI</t>
  </si>
  <si>
    <t>JEBBAR</t>
  </si>
  <si>
    <t>ABDELKARIM</t>
  </si>
  <si>
    <t>BEN JILALI</t>
  </si>
  <si>
    <t>CHAOUCH</t>
  </si>
  <si>
    <t>RADOAN</t>
  </si>
  <si>
    <t>ABDELKHALEK</t>
  </si>
  <si>
    <t>AMINE</t>
  </si>
  <si>
    <t>"2PRO01</t>
  </si>
  <si>
    <t>EL OUALI</t>
  </si>
  <si>
    <t>Cadre</t>
  </si>
  <si>
    <t>ZANIBOU</t>
  </si>
  <si>
    <t>EL M'FADDAL</t>
  </si>
  <si>
    <t>AZHAF</t>
  </si>
  <si>
    <t>SLIMANI</t>
  </si>
  <si>
    <t>MOURAD</t>
  </si>
  <si>
    <t>EL KANDOUSSI</t>
  </si>
  <si>
    <t>"2EXP01</t>
  </si>
  <si>
    <t>ZAHRAOUI</t>
  </si>
  <si>
    <t>ELHARROUTI</t>
  </si>
  <si>
    <t>TIJANI</t>
  </si>
  <si>
    <t>EL BARRAGHI</t>
  </si>
  <si>
    <t>CHAKER</t>
  </si>
  <si>
    <t>Hassan</t>
  </si>
  <si>
    <t>BARAKATE</t>
  </si>
  <si>
    <t>Oussama</t>
  </si>
  <si>
    <t>OUJAIDAN</t>
  </si>
  <si>
    <t>Fadila</t>
  </si>
  <si>
    <t>Mme</t>
  </si>
  <si>
    <t>ENNCEIRI</t>
  </si>
  <si>
    <t>HOUSNI</t>
  </si>
  <si>
    <t>EL MANSORI</t>
  </si>
  <si>
    <t>BADR</t>
  </si>
  <si>
    <t>"2DRH09</t>
  </si>
  <si>
    <t>MOUADDINE</t>
  </si>
  <si>
    <t>RAHOUTI</t>
  </si>
  <si>
    <t>YAHYA</t>
  </si>
  <si>
    <t>BEN BOUAZZA</t>
  </si>
  <si>
    <t>EL HADRI</t>
  </si>
  <si>
    <t>HACHMI</t>
  </si>
  <si>
    <t>"2TVN01</t>
  </si>
  <si>
    <t>EL AMRANI</t>
  </si>
  <si>
    <t>KANDIL</t>
  </si>
  <si>
    <t>HICHAM</t>
  </si>
  <si>
    <t>EL HALFA</t>
  </si>
  <si>
    <t>ADDI</t>
  </si>
  <si>
    <t>"2QUA01</t>
  </si>
  <si>
    <t>BENABID</t>
  </si>
  <si>
    <t>OUCHEN</t>
  </si>
  <si>
    <t>HAJAR</t>
  </si>
  <si>
    <t>"2MQE01</t>
  </si>
  <si>
    <t>MARSAK</t>
  </si>
  <si>
    <t>KANZA</t>
  </si>
  <si>
    <t>EL YEBADRI</t>
  </si>
  <si>
    <t>MILOUD</t>
  </si>
  <si>
    <t>BACHIRI</t>
  </si>
  <si>
    <t>SAMI</t>
  </si>
  <si>
    <t>AKEBI</t>
  </si>
  <si>
    <t>ABDELGHANI</t>
  </si>
  <si>
    <t>"2MAI07</t>
  </si>
  <si>
    <t>EL YOUSFI</t>
  </si>
  <si>
    <t>BILAL</t>
  </si>
  <si>
    <t>ASBAI</t>
  </si>
  <si>
    <t>ILYAS</t>
  </si>
  <si>
    <t>AABKARI</t>
  </si>
  <si>
    <t>MOUAD</t>
  </si>
  <si>
    <t>BOUBAOUCH</t>
  </si>
  <si>
    <t>AYMAN</t>
  </si>
  <si>
    <t>SORAYA</t>
  </si>
  <si>
    <t>Melle</t>
  </si>
  <si>
    <t>FEDDAHI</t>
  </si>
  <si>
    <t>ABDESSAMAD</t>
  </si>
  <si>
    <t>IRABNE</t>
  </si>
  <si>
    <t>YASSINE</t>
  </si>
  <si>
    <t>KHANOUCHI</t>
  </si>
  <si>
    <t>ABDELILAH</t>
  </si>
  <si>
    <t>AZAMMOR</t>
  </si>
  <si>
    <t>YOUNES</t>
  </si>
  <si>
    <t>EL BADMOUSSI</t>
  </si>
  <si>
    <t>BOULMANE</t>
  </si>
  <si>
    <t>YOUSSEF</t>
  </si>
  <si>
    <t>EL-MORSLI</t>
  </si>
  <si>
    <t>AMJOUD</t>
  </si>
  <si>
    <t>BOUHASSOUN</t>
  </si>
  <si>
    <t>KHLAIF</t>
  </si>
  <si>
    <t>ABDERRAHMANE</t>
  </si>
  <si>
    <t>ALLOU</t>
  </si>
  <si>
    <t>DRISS</t>
  </si>
  <si>
    <t>KABBOUCH</t>
  </si>
  <si>
    <t>ABDERRAHMIM</t>
  </si>
  <si>
    <t>OUASS</t>
  </si>
  <si>
    <t>ANAS</t>
  </si>
  <si>
    <t>TABARRANT</t>
  </si>
  <si>
    <t>ABDELHASSIB</t>
  </si>
  <si>
    <t>BOUKRAA</t>
  </si>
  <si>
    <t>2TVN01</t>
  </si>
  <si>
    <t>AZDAD</t>
  </si>
  <si>
    <t>EL JAOUHARI</t>
  </si>
  <si>
    <t>YAZID</t>
  </si>
  <si>
    <t>2NAD01</t>
  </si>
  <si>
    <t>BOUHRICHE</t>
  </si>
  <si>
    <t>Ayoub</t>
  </si>
  <si>
    <t>BENALI</t>
  </si>
  <si>
    <t>WASSIM</t>
  </si>
  <si>
    <t>KANDANI</t>
  </si>
  <si>
    <t>FOUAD</t>
  </si>
  <si>
    <t>BOUTOUATOU</t>
  </si>
  <si>
    <t>SIMOHAMED</t>
  </si>
  <si>
    <t>OUTAASSOUTE</t>
  </si>
  <si>
    <t>TAWFIQ</t>
  </si>
  <si>
    <t>BUYGAYDAN</t>
  </si>
  <si>
    <t>FAOUZI</t>
  </si>
  <si>
    <t>MOULAY</t>
  </si>
  <si>
    <t>HAMZA</t>
  </si>
  <si>
    <t>ECH-CHAYKH</t>
  </si>
  <si>
    <t>KARIM</t>
  </si>
  <si>
    <t>DAOUDI</t>
  </si>
  <si>
    <t>DRAOUI</t>
  </si>
  <si>
    <t>BOUZEGGOU</t>
  </si>
  <si>
    <t>SALAH-EDDINE</t>
  </si>
  <si>
    <t>BAHADI</t>
  </si>
  <si>
    <t>YOUNESS</t>
  </si>
  <si>
    <t>EL AMINE</t>
  </si>
  <si>
    <t>DOUNIA</t>
  </si>
  <si>
    <t>NECHAF</t>
  </si>
  <si>
    <t>EL MAHDI</t>
  </si>
  <si>
    <t>CHIGUER</t>
  </si>
  <si>
    <t>HOUMMADA</t>
  </si>
  <si>
    <t>CHAOUQUI</t>
  </si>
  <si>
    <t>BARRAHO</t>
  </si>
  <si>
    <t>ZAKARIAE</t>
  </si>
  <si>
    <t>LABRIKI</t>
  </si>
  <si>
    <t>OUSSAMA</t>
  </si>
  <si>
    <t>DOUIRI</t>
  </si>
  <si>
    <t>MAHI</t>
  </si>
  <si>
    <t>CHAFIK</t>
  </si>
  <si>
    <t>TOUIL</t>
  </si>
  <si>
    <t>KOUBIY</t>
  </si>
  <si>
    <t>SAMYA</t>
  </si>
  <si>
    <t>OUAHHAB</t>
  </si>
  <si>
    <t>BOUCHAFRA</t>
  </si>
  <si>
    <t>IBRAHIM</t>
  </si>
  <si>
    <t>ZOUINE</t>
  </si>
  <si>
    <t>LARBI</t>
  </si>
  <si>
    <t>HABSAOUI</t>
  </si>
  <si>
    <t>MOHAMED AMINE</t>
  </si>
  <si>
    <t>KARROUM</t>
  </si>
  <si>
    <t>LAKHDAR</t>
  </si>
  <si>
    <t>JAOUAD</t>
  </si>
  <si>
    <t>SABRI</t>
  </si>
  <si>
    <t>ETTADLAOUY</t>
  </si>
  <si>
    <t>EL MEHDI</t>
  </si>
  <si>
    <t>MARCHOUHI</t>
  </si>
  <si>
    <t>BOUCHKHACHAKH</t>
  </si>
  <si>
    <t>Younes</t>
  </si>
  <si>
    <t>AIT HAQQI</t>
  </si>
  <si>
    <t>JAWAD</t>
  </si>
  <si>
    <t>LAMSADDER</t>
  </si>
  <si>
    <t>ABDERRAZEK</t>
  </si>
  <si>
    <t>BENZAYYAN</t>
  </si>
  <si>
    <t>ISSAM</t>
  </si>
  <si>
    <t>KHALIFI</t>
  </si>
  <si>
    <t>AMMARI</t>
  </si>
  <si>
    <t>ZIDAN</t>
  </si>
  <si>
    <t>TAOUFIK</t>
  </si>
  <si>
    <t>CHOUDNA</t>
  </si>
  <si>
    <t>KERMAOUI</t>
  </si>
  <si>
    <t>HOUSSAM</t>
  </si>
  <si>
    <t>BOULGHOUDAN</t>
  </si>
  <si>
    <t>M'HAMED</t>
  </si>
  <si>
    <t>HAJJOUBI</t>
  </si>
  <si>
    <t>ABDELJALIL</t>
  </si>
  <si>
    <t>Matricule</t>
  </si>
  <si>
    <t>Nom</t>
  </si>
  <si>
    <t>Prenom</t>
  </si>
  <si>
    <t>Base</t>
  </si>
  <si>
    <t>PRIME_REPRESENT</t>
  </si>
  <si>
    <t>Indemnité transport</t>
  </si>
  <si>
    <t>Indemnité poste</t>
  </si>
  <si>
    <t>Prime logement</t>
  </si>
  <si>
    <t>P logement n logé</t>
  </si>
  <si>
    <t>P logement logé</t>
  </si>
  <si>
    <t>P logement famille</t>
  </si>
  <si>
    <t>Indemnité encadrement</t>
  </si>
  <si>
    <t>Indemnité panier</t>
  </si>
  <si>
    <t>Indemnité chaleur</t>
  </si>
  <si>
    <t>Indemnité salissure</t>
  </si>
  <si>
    <t>Indemnité poste douche</t>
  </si>
  <si>
    <t>Indemnité contre maitre</t>
  </si>
  <si>
    <t>Indemnité velomoteur</t>
  </si>
  <si>
    <t>Indemnité dimanche</t>
  </si>
  <si>
    <t>Prime caisse</t>
  </si>
  <si>
    <t>Forfait HS</t>
  </si>
  <si>
    <t>Indemnité compensatrice</t>
  </si>
  <si>
    <t>Indémnité chef de poste</t>
  </si>
  <si>
    <t>Echelle</t>
  </si>
  <si>
    <t>FIN_CONTRAT</t>
  </si>
  <si>
    <t>DT_NAISSANCE</t>
  </si>
  <si>
    <t>Famille</t>
  </si>
  <si>
    <t>CIVILITE</t>
  </si>
  <si>
    <t>Taux Prime ancienneté</t>
  </si>
  <si>
    <t>B</t>
  </si>
  <si>
    <t>M</t>
  </si>
  <si>
    <t>2FIB01</t>
  </si>
  <si>
    <t>C</t>
  </si>
  <si>
    <t>D</t>
  </si>
  <si>
    <t>ABDERRAHIM</t>
  </si>
  <si>
    <t>F</t>
  </si>
  <si>
    <t>E</t>
  </si>
  <si>
    <t>V</t>
  </si>
  <si>
    <t>BENBOUAZA</t>
  </si>
  <si>
    <t>MY ABDELKARIM</t>
  </si>
  <si>
    <t>FELIOUNE</t>
  </si>
  <si>
    <t>MOSTAPHA</t>
  </si>
  <si>
    <t>2PRO06</t>
  </si>
  <si>
    <t>IDRISS</t>
  </si>
  <si>
    <t>2SDN01</t>
  </si>
  <si>
    <t>ZARIOUH</t>
  </si>
  <si>
    <t>AJJAJI</t>
  </si>
  <si>
    <t>2PRO03</t>
  </si>
  <si>
    <t>TAZIOUEN</t>
  </si>
  <si>
    <t>2MAI02</t>
  </si>
  <si>
    <t>2MAI10</t>
  </si>
  <si>
    <t>EL HADDIOUI</t>
  </si>
  <si>
    <t>BENAISSA</t>
  </si>
  <si>
    <t>2MAI03</t>
  </si>
  <si>
    <t>ELMADANI</t>
  </si>
  <si>
    <t>AISSA</t>
  </si>
  <si>
    <t>2DRH09</t>
  </si>
  <si>
    <t>ARRAHI</t>
  </si>
  <si>
    <t>MOUSTAPHA</t>
  </si>
  <si>
    <t>2MAI07</t>
  </si>
  <si>
    <t>SKALLI</t>
  </si>
  <si>
    <t>NAOUAL</t>
  </si>
  <si>
    <t>BOUYANZAR</t>
  </si>
  <si>
    <t>2GAR02</t>
  </si>
  <si>
    <t>ABDEL-ILAH</t>
  </si>
  <si>
    <t>TOUFIK</t>
  </si>
  <si>
    <t>2SEC01</t>
  </si>
  <si>
    <t>LAHRAOUI</t>
  </si>
  <si>
    <t>AALI</t>
  </si>
  <si>
    <t>SALHI</t>
  </si>
  <si>
    <t>2MAG01</t>
  </si>
  <si>
    <t>EL BAROUDI</t>
  </si>
  <si>
    <t>ABDESSADEQ</t>
  </si>
  <si>
    <t>2PRO05</t>
  </si>
  <si>
    <t>BAJJA</t>
  </si>
  <si>
    <t>2PRO04</t>
  </si>
  <si>
    <t>2PRO02</t>
  </si>
  <si>
    <t>BOUDA</t>
  </si>
  <si>
    <t>TAHAR</t>
  </si>
  <si>
    <t>HATTABI</t>
  </si>
  <si>
    <t>EL AAZZOUZI</t>
  </si>
  <si>
    <t>EL HASSAN</t>
  </si>
  <si>
    <t>2QUA01</t>
  </si>
  <si>
    <t>2MAI09</t>
  </si>
  <si>
    <t>2MAI01</t>
  </si>
  <si>
    <t>RHADOUANI</t>
  </si>
  <si>
    <t>ABDELHAK</t>
  </si>
  <si>
    <t>2PRO08</t>
  </si>
  <si>
    <t>2SGX01</t>
  </si>
  <si>
    <t>DARRAZ</t>
  </si>
  <si>
    <t>ABDELHAMID</t>
  </si>
  <si>
    <t>2MAI06</t>
  </si>
  <si>
    <t>JELLOULI</t>
  </si>
  <si>
    <t>JIACH</t>
  </si>
  <si>
    <t>ABDELMAJID</t>
  </si>
  <si>
    <t>2MAI04</t>
  </si>
  <si>
    <t>DARSSI</t>
  </si>
  <si>
    <t>2MGX01</t>
  </si>
  <si>
    <t>EL ARABI</t>
  </si>
  <si>
    <t>KAMAL</t>
  </si>
  <si>
    <t>2PRO01</t>
  </si>
  <si>
    <t>AKOUDAD</t>
  </si>
  <si>
    <t>ABDELMONAIM</t>
  </si>
  <si>
    <t>AISSAOUI</t>
  </si>
  <si>
    <t>Rachid</t>
  </si>
  <si>
    <t>Abdelhafid</t>
  </si>
  <si>
    <t>BOUANZA</t>
  </si>
  <si>
    <t>2MQE01</t>
  </si>
  <si>
    <t>2DSI03</t>
  </si>
  <si>
    <t>A</t>
  </si>
  <si>
    <t>SAKHIR</t>
  </si>
  <si>
    <t>MANAL</t>
  </si>
  <si>
    <t>2ACH01</t>
  </si>
  <si>
    <t>ASSAKALE</t>
  </si>
  <si>
    <t>SAGHIR</t>
  </si>
  <si>
    <t>PFC</t>
  </si>
  <si>
    <t>SIEGE</t>
  </si>
  <si>
    <t>JORF</t>
  </si>
  <si>
    <t>H</t>
  </si>
  <si>
    <t>De 55 à 59 ans</t>
  </si>
  <si>
    <t>De 0 à 3 ans</t>
  </si>
  <si>
    <t>De 60 à 64 ans</t>
  </si>
  <si>
    <t>De 50 à 54 ans</t>
  </si>
  <si>
    <t>De 3 à 6 ans</t>
  </si>
  <si>
    <t>De 45 à 49 ans</t>
  </si>
  <si>
    <t>De 7 à 10 ans</t>
  </si>
  <si>
    <t>De 40 à 44 ans</t>
  </si>
  <si>
    <t>De 11 à 14 ans</t>
  </si>
  <si>
    <t>De 35 à 39 ans</t>
  </si>
  <si>
    <t>De 15 à 19 ans</t>
  </si>
  <si>
    <t>De 30 à 34 ans</t>
  </si>
  <si>
    <t>De 20 à 24 ans</t>
  </si>
  <si>
    <t>De 25 à 29 ans</t>
  </si>
  <si>
    <t>De 18 à 24 ans</t>
  </si>
  <si>
    <t>De 0 à 24 ans</t>
  </si>
  <si>
    <t>De 40 à 49 ans</t>
  </si>
  <si>
    <t>NOMBRE DE RECRUTEME + NOMBRE DEPART</t>
  </si>
  <si>
    <t>TURNOVER</t>
  </si>
  <si>
    <t>Encadrement</t>
  </si>
  <si>
    <t>Demission</t>
  </si>
  <si>
    <t>Real 12/2024</t>
  </si>
  <si>
    <t>Real 01/2023</t>
  </si>
  <si>
    <t>Target 2023</t>
  </si>
  <si>
    <t xml:space="preserve">Recrutement </t>
  </si>
  <si>
    <t>Total SONASID Nador</t>
  </si>
  <si>
    <t>Configurez vos paramètres</t>
  </si>
  <si>
    <t>Tranche d'âge</t>
  </si>
  <si>
    <t>&gt;=</t>
  </si>
  <si>
    <t>&lt;</t>
  </si>
  <si>
    <t>Libellé</t>
  </si>
  <si>
    <t>Tranche d'ancienneté</t>
  </si>
  <si>
    <t>Liste des critères variables étudiables</t>
  </si>
  <si>
    <t>Année</t>
  </si>
  <si>
    <t>Ne pas modifier</t>
  </si>
  <si>
    <t>Département</t>
  </si>
  <si>
    <t>Direction</t>
  </si>
  <si>
    <t>Métier</t>
  </si>
  <si>
    <t>Mois</t>
  </si>
  <si>
    <t>Nature de contrat</t>
  </si>
  <si>
    <t>Niveau de maitrîse</t>
  </si>
  <si>
    <t>Niveau hiérarchique</t>
  </si>
  <si>
    <t>Statut</t>
  </si>
  <si>
    <t>Temps de travail</t>
  </si>
  <si>
    <t>Type de contrat</t>
  </si>
  <si>
    <t>Unité</t>
  </si>
  <si>
    <t>Prénom</t>
  </si>
  <si>
    <t>Site</t>
  </si>
  <si>
    <t>Date recrutement</t>
  </si>
  <si>
    <t>"2NAD01</t>
  </si>
  <si>
    <t>TOTAL</t>
  </si>
  <si>
    <t>Date départ</t>
  </si>
  <si>
    <t>Motif départ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</si>
</sst>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0.000%"/>
    <numFmt numFmtId="166" formatCode="dd\-mm\-yyyy;@"/>
    <numFmt numFmtId="167" formatCode="0000"/>
  </numFmts>
  <fonts count="26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8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color theme="1"/>
      <name val="Tahoma"/>
      <family val="2"/>
    </font>
    <font>
      <sz val="8"/>
      <color indexed="8"/>
      <name val="Tahoma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8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thin">
        <color rgb="FFDAEEF3"/>
      </top>
      <bottom style="double">
        <color rgb="FF31869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31869B"/>
      </top>
      <bottom style="thin">
        <color rgb="FFDAEEF3"/>
      </bottom>
      <diagonal/>
    </border>
    <border>
      <left/>
      <right/>
      <top style="thin">
        <color rgb="FF31869B"/>
      </top>
      <bottom style="thin">
        <color rgb="FFDAEEF3"/>
      </bottom>
      <diagonal/>
    </border>
    <border>
      <left style="thin">
        <color rgb="FF000000"/>
      </left>
      <right/>
      <top style="thin">
        <color rgb="FFDAEEF3"/>
      </top>
      <bottom style="thin">
        <color rgb="FFDAEEF3"/>
      </bottom>
      <diagonal/>
    </border>
    <border>
      <left style="thin">
        <color rgb="FF000000"/>
      </left>
      <right/>
      <top style="double">
        <color rgb="FF31869B"/>
      </top>
      <bottom style="thin">
        <color rgb="FF000000"/>
      </bottom>
      <diagonal/>
    </border>
    <border>
      <left/>
      <right/>
      <top style="double">
        <color rgb="FF31869B"/>
      </top>
      <bottom style="thin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</cellStyleXfs>
  <cellXfs count="13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1" xfId="2" applyFont="1" applyBorder="1" applyAlignment="1">
      <alignment horizontal="center" vertical="center"/>
    </xf>
    <xf numFmtId="0" fontId="4" fillId="0" borderId="0" xfId="3" applyProtection="1">
      <protection locked="0"/>
    </xf>
    <xf numFmtId="0" fontId="4" fillId="0" borderId="0" xfId="3"/>
    <xf numFmtId="0" fontId="4" fillId="3" borderId="3" xfId="3" applyFill="1" applyBorder="1" applyProtection="1">
      <protection locked="0"/>
    </xf>
    <xf numFmtId="0" fontId="4" fillId="3" borderId="4" xfId="3" applyFill="1" applyBorder="1" applyProtection="1">
      <protection locked="0"/>
    </xf>
    <xf numFmtId="0" fontId="4" fillId="3" borderId="0" xfId="3" applyFill="1" applyProtection="1">
      <protection locked="0"/>
    </xf>
    <xf numFmtId="0" fontId="4" fillId="3" borderId="6" xfId="3" applyFill="1" applyBorder="1"/>
    <xf numFmtId="0" fontId="6" fillId="0" borderId="0" xfId="3" applyFont="1" applyAlignment="1" applyProtection="1">
      <alignment vertical="center" textRotation="90"/>
      <protection locked="0"/>
    </xf>
    <xf numFmtId="0" fontId="7" fillId="3" borderId="6" xfId="3" applyFont="1" applyFill="1" applyBorder="1"/>
    <xf numFmtId="0" fontId="4" fillId="3" borderId="8" xfId="3" applyFill="1" applyBorder="1" applyProtection="1">
      <protection locked="0"/>
    </xf>
    <xf numFmtId="0" fontId="4" fillId="3" borderId="9" xfId="3" applyFill="1" applyBorder="1"/>
    <xf numFmtId="0" fontId="4" fillId="2" borderId="13" xfId="3" applyFill="1" applyBorder="1" applyAlignment="1" applyProtection="1">
      <alignment horizontal="center" vertical="center"/>
      <protection locked="0"/>
    </xf>
    <xf numFmtId="0" fontId="4" fillId="2" borderId="2" xfId="3" applyFill="1" applyBorder="1" applyAlignment="1" applyProtection="1">
      <alignment horizontal="center"/>
      <protection locked="0"/>
    </xf>
    <xf numFmtId="0" fontId="4" fillId="2" borderId="4" xfId="3" applyFill="1" applyBorder="1" applyAlignment="1" applyProtection="1">
      <alignment horizontal="center"/>
      <protection locked="0"/>
    </xf>
    <xf numFmtId="0" fontId="4" fillId="2" borderId="14" xfId="3" applyFill="1" applyBorder="1" applyAlignment="1" applyProtection="1">
      <alignment horizontal="center" vertical="center"/>
      <protection locked="0"/>
    </xf>
    <xf numFmtId="0" fontId="4" fillId="2" borderId="5" xfId="3" applyFill="1" applyBorder="1" applyAlignment="1" applyProtection="1">
      <alignment horizontal="center"/>
      <protection locked="0"/>
    </xf>
    <xf numFmtId="0" fontId="4" fillId="2" borderId="6" xfId="3" applyFill="1" applyBorder="1" applyAlignment="1" applyProtection="1">
      <alignment horizontal="center"/>
      <protection locked="0"/>
    </xf>
    <xf numFmtId="0" fontId="4" fillId="2" borderId="15" xfId="3" applyFill="1" applyBorder="1" applyAlignment="1" applyProtection="1">
      <alignment horizontal="center" vertical="center"/>
      <protection locked="0"/>
    </xf>
    <xf numFmtId="0" fontId="4" fillId="2" borderId="7" xfId="3" applyFill="1" applyBorder="1" applyAlignment="1" applyProtection="1">
      <alignment horizontal="center" vertical="center"/>
      <protection locked="0"/>
    </xf>
    <xf numFmtId="0" fontId="4" fillId="2" borderId="9" xfId="3" applyFill="1" applyBorder="1" applyAlignment="1" applyProtection="1">
      <alignment horizontal="center" vertical="center"/>
      <protection locked="0"/>
    </xf>
    <xf numFmtId="0" fontId="8" fillId="2" borderId="1" xfId="3" applyFont="1" applyFill="1" applyBorder="1" applyAlignment="1">
      <alignment horizontal="center" vertical="center"/>
    </xf>
    <xf numFmtId="0" fontId="8" fillId="2" borderId="8" xfId="3" applyFont="1" applyFill="1" applyBorder="1" applyAlignment="1">
      <alignment horizontal="center" vertical="center"/>
    </xf>
    <xf numFmtId="0" fontId="8" fillId="2" borderId="9" xfId="3" applyFont="1" applyFill="1" applyBorder="1" applyAlignment="1">
      <alignment horizontal="center" vertical="center"/>
    </xf>
    <xf numFmtId="0" fontId="9" fillId="0" borderId="0" xfId="3" applyFont="1" applyProtection="1">
      <protection locked="0"/>
    </xf>
    <xf numFmtId="0" fontId="10" fillId="0" borderId="0" xfId="3" applyFont="1" applyAlignment="1" applyProtection="1">
      <alignment horizontal="center" vertical="center"/>
      <protection locked="0"/>
    </xf>
    <xf numFmtId="0" fontId="3" fillId="2" borderId="0" xfId="0" applyFont="1" applyFill="1"/>
    <xf numFmtId="43" fontId="0" fillId="2" borderId="0" xfId="2" applyFont="1" applyFill="1"/>
    <xf numFmtId="10" fontId="0" fillId="0" borderId="0" xfId="4" applyNumberFormat="1" applyFont="1"/>
    <xf numFmtId="165" fontId="0" fillId="0" borderId="0" xfId="4" applyNumberFormat="1" applyFont="1"/>
    <xf numFmtId="0" fontId="11" fillId="2" borderId="0" xfId="0" applyFont="1" applyFill="1" applyAlignment="1">
      <alignment vertical="center" wrapText="1"/>
    </xf>
    <xf numFmtId="17" fontId="12" fillId="5" borderId="1" xfId="0" applyNumberFormat="1" applyFont="1" applyFill="1" applyBorder="1" applyAlignment="1">
      <alignment horizontal="center" vertical="center" wrapText="1" readingOrder="1"/>
    </xf>
    <xf numFmtId="0" fontId="12" fillId="6" borderId="1" xfId="0" applyFont="1" applyFill="1" applyBorder="1" applyAlignment="1">
      <alignment horizontal="center" vertical="center" wrapText="1" readingOrder="1"/>
    </xf>
    <xf numFmtId="0" fontId="12" fillId="7" borderId="1" xfId="0" applyFont="1" applyFill="1" applyBorder="1" applyAlignment="1">
      <alignment horizontal="center" vertical="center" wrapText="1" readingOrder="1"/>
    </xf>
    <xf numFmtId="0" fontId="13" fillId="8" borderId="1" xfId="0" applyFont="1" applyFill="1" applyBorder="1" applyAlignment="1">
      <alignment horizontal="left" wrapText="1" readingOrder="1"/>
    </xf>
    <xf numFmtId="0" fontId="12" fillId="6" borderId="1" xfId="2" applyNumberFormat="1" applyFont="1" applyFill="1" applyBorder="1" applyAlignment="1">
      <alignment horizontal="center" vertical="center" wrapText="1" readingOrder="1"/>
    </xf>
    <xf numFmtId="0" fontId="12" fillId="5" borderId="1" xfId="2" applyNumberFormat="1" applyFont="1" applyFill="1" applyBorder="1" applyAlignment="1">
      <alignment horizontal="center" vertical="center" wrapText="1" readingOrder="1"/>
    </xf>
    <xf numFmtId="0" fontId="12" fillId="7" borderId="1" xfId="2" applyNumberFormat="1" applyFont="1" applyFill="1" applyBorder="1" applyAlignment="1">
      <alignment horizontal="center" vertical="center" wrapText="1" readingOrder="1"/>
    </xf>
    <xf numFmtId="0" fontId="14" fillId="9" borderId="1" xfId="0" applyFont="1" applyFill="1" applyBorder="1" applyAlignment="1">
      <alignment wrapText="1"/>
    </xf>
    <xf numFmtId="0" fontId="14" fillId="10" borderId="1" xfId="0" applyFont="1" applyFill="1" applyBorder="1" applyAlignment="1">
      <alignment wrapText="1"/>
    </xf>
    <xf numFmtId="0" fontId="15" fillId="9" borderId="1" xfId="0" applyFont="1" applyFill="1" applyBorder="1" applyAlignment="1">
      <alignment wrapText="1"/>
    </xf>
    <xf numFmtId="14" fontId="15" fillId="9" borderId="1" xfId="0" applyNumberFormat="1" applyFont="1" applyFill="1" applyBorder="1" applyAlignment="1">
      <alignment wrapText="1"/>
    </xf>
    <xf numFmtId="49" fontId="15" fillId="9" borderId="1" xfId="0" applyNumberFormat="1" applyFont="1" applyFill="1" applyBorder="1" applyAlignment="1">
      <alignment wrapText="1"/>
    </xf>
    <xf numFmtId="0" fontId="15" fillId="10" borderId="1" xfId="0" applyFont="1" applyFill="1" applyBorder="1" applyAlignment="1">
      <alignment wrapText="1"/>
    </xf>
    <xf numFmtId="14" fontId="15" fillId="10" borderId="1" xfId="0" applyNumberFormat="1" applyFont="1" applyFill="1" applyBorder="1" applyAlignment="1">
      <alignment wrapText="1"/>
    </xf>
    <xf numFmtId="49" fontId="15" fillId="10" borderId="1" xfId="0" applyNumberFormat="1" applyFont="1" applyFill="1" applyBorder="1" applyAlignment="1">
      <alignment wrapText="1"/>
    </xf>
    <xf numFmtId="0" fontId="16" fillId="0" borderId="16" xfId="0" applyFont="1" applyBorder="1" applyAlignment="1">
      <alignment horizontal="center" wrapText="1" readingOrder="1"/>
    </xf>
    <xf numFmtId="0" fontId="16" fillId="0" borderId="17" xfId="0" applyFont="1" applyBorder="1" applyAlignment="1">
      <alignment horizontal="center" wrapText="1" readingOrder="1"/>
    </xf>
    <xf numFmtId="0" fontId="4" fillId="0" borderId="1" xfId="3" applyBorder="1" applyAlignment="1">
      <alignment horizontal="center"/>
    </xf>
    <xf numFmtId="0" fontId="4" fillId="0" borderId="1" xfId="3" applyBorder="1"/>
    <xf numFmtId="0" fontId="19" fillId="0" borderId="1" xfId="3" applyFont="1" applyBorder="1" applyAlignment="1">
      <alignment vertical="center"/>
    </xf>
    <xf numFmtId="166" fontId="19" fillId="2" borderId="1" xfId="3" applyNumberFormat="1" applyFont="1" applyFill="1" applyBorder="1" applyAlignment="1">
      <alignment horizontal="left" vertical="center"/>
    </xf>
    <xf numFmtId="14" fontId="19" fillId="0" borderId="1" xfId="3" applyNumberFormat="1" applyFont="1" applyBorder="1" applyAlignment="1">
      <alignment horizontal="center" vertical="center"/>
    </xf>
    <xf numFmtId="0" fontId="20" fillId="12" borderId="22" xfId="3" applyFont="1" applyFill="1" applyBorder="1" applyAlignment="1">
      <alignment horizontal="center" vertical="center" wrapText="1"/>
    </xf>
    <xf numFmtId="0" fontId="4" fillId="0" borderId="15" xfId="3" applyBorder="1" applyAlignment="1">
      <alignment horizontal="center"/>
    </xf>
    <xf numFmtId="0" fontId="19" fillId="0" borderId="15" xfId="3" applyFont="1" applyBorder="1" applyAlignment="1">
      <alignment vertical="center"/>
    </xf>
    <xf numFmtId="0" fontId="0" fillId="0" borderId="18" xfId="0" applyBorder="1"/>
    <xf numFmtId="167" fontId="19" fillId="2" borderId="1" xfId="3" applyNumberFormat="1" applyFont="1" applyFill="1" applyBorder="1" applyAlignment="1">
      <alignment horizontal="center" vertical="center"/>
    </xf>
    <xf numFmtId="167" fontId="19" fillId="2" borderId="1" xfId="3" applyNumberFormat="1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vertical="center"/>
    </xf>
    <xf numFmtId="0" fontId="20" fillId="12" borderId="26" xfId="3" applyFont="1" applyFill="1" applyBorder="1" applyAlignment="1">
      <alignment horizontal="center" vertical="center" wrapText="1"/>
    </xf>
    <xf numFmtId="0" fontId="0" fillId="0" borderId="1" xfId="0" applyBorder="1"/>
    <xf numFmtId="10" fontId="0" fillId="15" borderId="0" xfId="4" applyNumberFormat="1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10" fontId="0" fillId="15" borderId="0" xfId="0" applyNumberFormat="1" applyFill="1" applyAlignment="1">
      <alignment horizontal="center"/>
    </xf>
    <xf numFmtId="43" fontId="0" fillId="15" borderId="0" xfId="2" applyFont="1" applyFill="1" applyBorder="1" applyAlignment="1">
      <alignment vertical="center"/>
    </xf>
    <xf numFmtId="10" fontId="0" fillId="2" borderId="0" xfId="4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43" fontId="0" fillId="2" borderId="0" xfId="2" applyFont="1" applyFill="1" applyBorder="1" applyAlignment="1">
      <alignment vertical="center"/>
    </xf>
    <xf numFmtId="0" fontId="17" fillId="11" borderId="28" xfId="0" applyFont="1" applyFill="1" applyBorder="1"/>
    <xf numFmtId="0" fontId="21" fillId="16" borderId="30" xfId="0" applyFont="1" applyFill="1" applyBorder="1" applyAlignment="1">
      <alignment horizontal="left" wrapText="1" readingOrder="1"/>
    </xf>
    <xf numFmtId="0" fontId="16" fillId="0" borderId="32" xfId="0" applyFont="1" applyBorder="1" applyAlignment="1">
      <alignment horizontal="left" wrapText="1" readingOrder="1"/>
    </xf>
    <xf numFmtId="0" fontId="22" fillId="0" borderId="33" xfId="0" applyFont="1" applyBorder="1" applyAlignment="1">
      <alignment horizontal="left" wrapText="1" readingOrder="1"/>
    </xf>
    <xf numFmtId="0" fontId="0" fillId="15" borderId="0" xfId="0" applyFill="1"/>
    <xf numFmtId="0" fontId="18" fillId="17" borderId="0" xfId="0" applyFont="1" applyFill="1" applyAlignment="1">
      <alignment horizontal="center" vertical="center"/>
    </xf>
    <xf numFmtId="0" fontId="16" fillId="0" borderId="16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1" fontId="15" fillId="10" borderId="1" xfId="0" applyNumberFormat="1" applyFont="1" applyFill="1" applyBorder="1" applyAlignment="1">
      <alignment wrapText="1"/>
    </xf>
    <xf numFmtId="1" fontId="0" fillId="2" borderId="0" xfId="0" applyNumberFormat="1" applyFill="1" applyAlignment="1">
      <alignment horizontal="center" vertical="center"/>
    </xf>
    <xf numFmtId="14" fontId="19" fillId="2" borderId="1" xfId="3" applyNumberFormat="1" applyFont="1" applyFill="1" applyBorder="1" applyAlignment="1">
      <alignment horizontal="left" vertical="center"/>
    </xf>
    <xf numFmtId="9" fontId="0" fillId="0" borderId="0" xfId="4" applyFont="1"/>
    <xf numFmtId="0" fontId="18" fillId="13" borderId="19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9" borderId="0" xfId="0" applyFill="1" applyAlignment="1">
      <alignment wrapText="1"/>
    </xf>
    <xf numFmtId="0" fontId="17" fillId="11" borderId="2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/>
    <xf numFmtId="22" fontId="0" fillId="9" borderId="0" xfId="0" applyNumberFormat="1" applyFill="1" applyAlignment="1">
      <alignment wrapText="1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23" fillId="17" borderId="19" xfId="0" applyFont="1" applyFill="1" applyBorder="1" applyAlignment="1">
      <alignment horizontal="center" vertical="center"/>
    </xf>
    <xf numFmtId="0" fontId="23" fillId="17" borderId="21" xfId="0" applyFont="1" applyFill="1" applyBorder="1" applyAlignment="1">
      <alignment horizontal="center" vertical="center"/>
    </xf>
    <xf numFmtId="0" fontId="18" fillId="13" borderId="19" xfId="0" applyFont="1" applyFill="1" applyBorder="1" applyAlignment="1">
      <alignment horizontal="center"/>
    </xf>
    <xf numFmtId="10" fontId="0" fillId="14" borderId="10" xfId="4" applyNumberFormat="1" applyFont="1" applyFill="1" applyBorder="1" applyAlignment="1">
      <alignment horizontal="center"/>
    </xf>
    <xf numFmtId="10" fontId="0" fillId="14" borderId="1" xfId="4" applyNumberFormat="1" applyFont="1" applyFill="1" applyBorder="1" applyAlignment="1">
      <alignment horizontal="center"/>
    </xf>
    <xf numFmtId="0" fontId="17" fillId="11" borderId="29" xfId="0" applyFont="1" applyFill="1" applyBorder="1" applyAlignment="1">
      <alignment horizontal="center"/>
    </xf>
    <xf numFmtId="0" fontId="21" fillId="16" borderId="31" xfId="0" applyFont="1" applyFill="1" applyBorder="1" applyAlignment="1">
      <alignment horizontal="center" vertical="center" wrapText="1" readingOrder="1"/>
    </xf>
    <xf numFmtId="0" fontId="21" fillId="16" borderId="0" xfId="0" applyFont="1" applyFill="1" applyAlignment="1">
      <alignment horizontal="center" vertical="center" wrapText="1" readingOrder="1"/>
    </xf>
    <xf numFmtId="0" fontId="16" fillId="0" borderId="16" xfId="0" applyFont="1" applyBorder="1" applyAlignment="1">
      <alignment horizontal="center" wrapText="1" readingOrder="1"/>
    </xf>
    <xf numFmtId="0" fontId="16" fillId="0" borderId="17" xfId="0" applyFont="1" applyBorder="1" applyAlignment="1">
      <alignment horizontal="center" wrapText="1" readingOrder="1"/>
    </xf>
    <xf numFmtId="10" fontId="0" fillId="14" borderId="1" xfId="0" applyNumberFormat="1" applyFill="1" applyBorder="1" applyAlignment="1">
      <alignment horizontal="center"/>
    </xf>
    <xf numFmtId="43" fontId="0" fillId="14" borderId="1" xfId="2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2" fillId="0" borderId="34" xfId="0" applyFont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5" fillId="3" borderId="7" xfId="3" applyFont="1" applyFill="1" applyBorder="1" applyAlignment="1" applyProtection="1">
      <alignment horizontal="center" vertical="center" textRotation="45"/>
      <protection locked="0"/>
    </xf>
    <xf numFmtId="0" fontId="5" fillId="3" borderId="5" xfId="3" applyFont="1" applyFill="1" applyBorder="1" applyAlignment="1" applyProtection="1">
      <alignment horizontal="center" vertical="center" textRotation="45"/>
      <protection locked="0"/>
    </xf>
    <xf numFmtId="0" fontId="5" fillId="3" borderId="2" xfId="3" applyFont="1" applyFill="1" applyBorder="1" applyAlignment="1" applyProtection="1">
      <alignment horizontal="center" vertical="center" textRotation="45"/>
      <protection locked="0"/>
    </xf>
    <xf numFmtId="0" fontId="8" fillId="4" borderId="12" xfId="3" applyFont="1" applyFill="1" applyBorder="1" applyAlignment="1">
      <alignment horizontal="center" vertical="center"/>
    </xf>
    <xf numFmtId="0" fontId="8" fillId="4" borderId="11" xfId="3" applyFont="1" applyFill="1" applyBorder="1" applyAlignment="1">
      <alignment horizontal="center" vertical="center"/>
    </xf>
    <xf numFmtId="0" fontId="8" fillId="4" borderId="10" xfId="3" applyFont="1" applyFill="1" applyBorder="1" applyAlignment="1">
      <alignment horizontal="center" vertical="center"/>
    </xf>
    <xf numFmtId="0" fontId="10" fillId="0" borderId="0" xfId="3" applyFont="1" applyAlignment="1" applyProtection="1">
      <alignment horizontal="center" vertical="center"/>
      <protection locked="0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Milliers" xfId="2" builtinId="3"/>
    <cellStyle name="Milliers 2" xfId="1" xr:uid="{00000000-0005-0000-0000-00002F000000}"/>
    <cellStyle name="Normal" xfId="0" builtinId="0"/>
    <cellStyle name="Normal 2" xfId="3" xr:uid="{E7ED41DD-184F-4B57-AB0D-53564919FE61}"/>
    <cellStyle name="Pourcentage" xfId="4" builtinId="5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Repartion</a:t>
            </a:r>
            <a:r>
              <a:rPr lang="fr-MA" baseline="0"/>
              <a:t> par genre</a:t>
            </a:r>
            <a:endParaRPr lang="fr-M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M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TDB!$J$27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TDB!$I$28:$I$31</c15:sqref>
                  </c15:fullRef>
                </c:ext>
              </c:extLst>
              <c:f>TDB!$I$28:$I$30</c:f>
              <c:strCache>
                <c:ptCount val="3"/>
                <c:pt idx="0">
                  <c:v>AM</c:v>
                </c:pt>
                <c:pt idx="1">
                  <c:v>EMPLOYE</c:v>
                </c:pt>
                <c:pt idx="2">
                  <c:v>CADRE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TDB!$J$28:$J$31</c15:sqref>
                  </c15:fullRef>
                </c:ext>
              </c:extLst>
              <c:f>TDB!$J$28:$J$30</c:f>
              <c:numCache>
                <c:formatCode>General</c:formatCode>
                <c:ptCount val="3"/>
                <c:pt idx="0">
                  <c:v>49</c:v>
                </c:pt>
                <c:pt idx="1">
                  <c:v>81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B-4953-AB5C-CF15D07AE702}"/>
            </c:ext>
          </c:extLst>
        </c:ser>
        <c:ser>
          <c:idx val="2"/>
          <c:order val="2"/>
          <c:tx>
            <c:strRef>
              <c:f>TDB!$L$27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TDB!$I$28:$I$31</c15:sqref>
                  </c15:fullRef>
                </c:ext>
              </c:extLst>
              <c:f>TDB!$I$28:$I$30</c:f>
              <c:strCache>
                <c:ptCount val="3"/>
                <c:pt idx="0">
                  <c:v>AM</c:v>
                </c:pt>
                <c:pt idx="1">
                  <c:v>EMPLOYE</c:v>
                </c:pt>
                <c:pt idx="2">
                  <c:v>CADRE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TDB!$L$28:$L$31</c15:sqref>
                  </c15:fullRef>
                </c:ext>
              </c:extLst>
              <c:f>TDB!$L$28:$L$30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DB-4953-AB5C-CF15D07AE7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00410256"/>
        <c:axId val="13004077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TDB!$K$27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TDB!$I$28:$I$31</c15:sqref>
                        </c15:fullRef>
                        <c15:formulaRef>
                          <c15:sqref>TDB!$I$28:$I$30</c15:sqref>
                        </c15:formulaRef>
                      </c:ext>
                    </c:extLst>
                    <c:strCache>
                      <c:ptCount val="3"/>
                      <c:pt idx="0">
                        <c:v>AM</c:v>
                      </c:pt>
                      <c:pt idx="1">
                        <c:v>EMPLOYE</c:v>
                      </c:pt>
                      <c:pt idx="2">
                        <c:v>CADRE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TDB!$K$28:$K$31</c15:sqref>
                        </c15:fullRef>
                        <c15:formulaRef>
                          <c15:sqref>TDB!$K$28:$K$30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1DB-4953-AB5C-CF15D07AE70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TDB!$M$27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TDB!$I$28:$I$31</c15:sqref>
                        </c15:fullRef>
                        <c15:formulaRef>
                          <c15:sqref>TDB!$I$28:$I$30</c15:sqref>
                        </c15:formulaRef>
                      </c:ext>
                    </c:extLst>
                    <c:strCache>
                      <c:ptCount val="3"/>
                      <c:pt idx="0">
                        <c:v>AM</c:v>
                      </c:pt>
                      <c:pt idx="1">
                        <c:v>EMPLOYE</c:v>
                      </c:pt>
                      <c:pt idx="2">
                        <c:v>CADRE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TDB!$M$28:$M$31</c15:sqref>
                        </c15:fullRef>
                        <c15:formulaRef>
                          <c15:sqref>TDB!$M$28:$M$30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1DB-4953-AB5C-CF15D07AE70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TDB!$N$27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TDB!$I$28:$I$31</c15:sqref>
                        </c15:fullRef>
                        <c15:formulaRef>
                          <c15:sqref>TDB!$I$28:$I$30</c15:sqref>
                        </c15:formulaRef>
                      </c:ext>
                    </c:extLst>
                    <c:strCache>
                      <c:ptCount val="3"/>
                      <c:pt idx="0">
                        <c:v>AM</c:v>
                      </c:pt>
                      <c:pt idx="1">
                        <c:v>EMPLOYE</c:v>
                      </c:pt>
                      <c:pt idx="2">
                        <c:v>CADRE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TDB!$N$28:$N$31</c15:sqref>
                        </c15:fullRef>
                        <c15:formulaRef>
                          <c15:sqref>TDB!$N$28:$N$30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55</c:v>
                      </c:pt>
                      <c:pt idx="1">
                        <c:v>81</c:v>
                      </c:pt>
                      <c:pt idx="2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1DB-4953-AB5C-CF15D07AE702}"/>
                  </c:ext>
                </c:extLst>
              </c15:ser>
            </c15:filteredBarSeries>
          </c:ext>
        </c:extLst>
      </c:barChart>
      <c:catAx>
        <c:axId val="13004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0407760"/>
        <c:crosses val="autoZero"/>
        <c:auto val="1"/>
        <c:lblAlgn val="ctr"/>
        <c:lblOffset val="100"/>
        <c:noMultiLvlLbl val="0"/>
      </c:catAx>
      <c:valAx>
        <c:axId val="1300407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041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400117579421034"/>
          <c:y val="0.14042643682248737"/>
          <c:w val="0.71315870611912868"/>
          <c:h val="0.62785455976872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'Pyramide age'!$AC$3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'Pyramide age'!$AJ$4:$AJ$13</c:f>
              <c:strCache>
                <c:ptCount val="10"/>
                <c:pt idx="0">
                  <c:v>De 0 à 3 ans</c:v>
                </c:pt>
                <c:pt idx="1">
                  <c:v>De 3 à 6 ans</c:v>
                </c:pt>
                <c:pt idx="2">
                  <c:v>De 7 à 10 ans</c:v>
                </c:pt>
                <c:pt idx="3">
                  <c:v>De 11 à 14 ans</c:v>
                </c:pt>
                <c:pt idx="4">
                  <c:v>De 15 à 19 ans</c:v>
                </c:pt>
                <c:pt idx="5">
                  <c:v>De 20 à 24 ans</c:v>
                </c:pt>
                <c:pt idx="6">
                  <c:v>De 25 à 29 ans</c:v>
                </c:pt>
                <c:pt idx="7">
                  <c:v>De 30 à 34 ans</c:v>
                </c:pt>
                <c:pt idx="8">
                  <c:v>De 35 à 39 ans</c:v>
                </c:pt>
                <c:pt idx="9">
                  <c:v>De 40 à 49 ans</c:v>
                </c:pt>
              </c:strCache>
            </c:strRef>
          </c:cat>
          <c:val>
            <c:numRef>
              <c:f>'Pyramide age'!$AK$4:$AK$13</c:f>
              <c:numCache>
                <c:formatCode>General</c:formatCode>
                <c:ptCount val="10"/>
                <c:pt idx="0">
                  <c:v>41</c:v>
                </c:pt>
                <c:pt idx="1">
                  <c:v>23</c:v>
                </c:pt>
                <c:pt idx="2">
                  <c:v>4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36</c:v>
                </c:pt>
                <c:pt idx="7">
                  <c:v>6</c:v>
                </c:pt>
                <c:pt idx="8">
                  <c:v>10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C-4479-9994-3E37CE80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2861056"/>
        <c:axId val="82860224"/>
      </c:barChart>
      <c:barChart>
        <c:barDir val="bar"/>
        <c:grouping val="clustered"/>
        <c:varyColors val="0"/>
        <c:ser>
          <c:idx val="1"/>
          <c:order val="1"/>
          <c:tx>
            <c:strRef>
              <c:f>'Pyramide age'!$U$3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6070460704606998E-2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1C-4479-9994-3E37CE800E2A}"/>
                </c:ext>
              </c:extLst>
            </c:dLbl>
            <c:dLbl>
              <c:idx val="1"/>
              <c:layout>
                <c:manualLayout>
                  <c:x val="4.607046070460699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1C-4479-9994-3E37CE800E2A}"/>
                </c:ext>
              </c:extLst>
            </c:dLbl>
            <c:dLbl>
              <c:idx val="2"/>
              <c:layout>
                <c:manualLayout>
                  <c:x val="-9.485094850948509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1C-4479-9994-3E37CE800E2A}"/>
                </c:ext>
              </c:extLst>
            </c:dLbl>
            <c:dLbl>
              <c:idx val="3"/>
              <c:layout>
                <c:manualLayout>
                  <c:x val="4.8780487804878099E-2"/>
                  <c:y val="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1C-4479-9994-3E37CE800E2A}"/>
                </c:ext>
              </c:extLst>
            </c:dLbl>
            <c:dLbl>
              <c:idx val="4"/>
              <c:layout>
                <c:manualLayout>
                  <c:x val="-9.756097560975610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1C-4479-9994-3E37CE800E2A}"/>
                </c:ext>
              </c:extLst>
            </c:dLbl>
            <c:dLbl>
              <c:idx val="5"/>
              <c:layout>
                <c:manualLayout>
                  <c:x val="-9.7560923195480945E-2"/>
                  <c:y val="4.545907743793448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1C-4479-9994-3E37CE800E2A}"/>
                </c:ext>
              </c:extLst>
            </c:dLbl>
            <c:dLbl>
              <c:idx val="6"/>
              <c:layout>
                <c:manualLayout>
                  <c:x val="-9.4850948509485097E-2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1C-4479-9994-3E37CE800E2A}"/>
                </c:ext>
              </c:extLst>
            </c:dLbl>
            <c:dLbl>
              <c:idx val="7"/>
              <c:layout>
                <c:manualLayout>
                  <c:x val="-9.214092140921409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1C-4479-9994-3E37CE800E2A}"/>
                </c:ext>
              </c:extLst>
            </c:dLbl>
            <c:dLbl>
              <c:idx val="8"/>
              <c:layout>
                <c:manualLayout>
                  <c:x val="-9.862120064805073E-2"/>
                  <c:y val="4.7511916025614709E-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393147037724127E-2"/>
                      <c:h val="5.67171075430287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51C-4479-9994-3E37CE800E2A}"/>
                </c:ext>
              </c:extLst>
            </c:dLbl>
            <c:dLbl>
              <c:idx val="9"/>
              <c:layout>
                <c:manualLayout>
                  <c:x val="-0.1080970004473204"/>
                  <c:y val="-9.0940776767860855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1C-4479-9994-3E37CE800E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'Pyramide age'!$AJ$4:$AJ$13</c:f>
              <c:strCache>
                <c:ptCount val="10"/>
                <c:pt idx="0">
                  <c:v>De 0 à 3 ans</c:v>
                </c:pt>
                <c:pt idx="1">
                  <c:v>De 3 à 6 ans</c:v>
                </c:pt>
                <c:pt idx="2">
                  <c:v>De 7 à 10 ans</c:v>
                </c:pt>
                <c:pt idx="3">
                  <c:v>De 11 à 14 ans</c:v>
                </c:pt>
                <c:pt idx="4">
                  <c:v>De 15 à 19 ans</c:v>
                </c:pt>
                <c:pt idx="5">
                  <c:v>De 20 à 24 ans</c:v>
                </c:pt>
                <c:pt idx="6">
                  <c:v>De 25 à 29 ans</c:v>
                </c:pt>
                <c:pt idx="7">
                  <c:v>De 30 à 34 ans</c:v>
                </c:pt>
                <c:pt idx="8">
                  <c:v>De 35 à 39 ans</c:v>
                </c:pt>
                <c:pt idx="9">
                  <c:v>De 40 à 49 ans</c:v>
                </c:pt>
              </c:strCache>
            </c:strRef>
          </c:cat>
          <c:val>
            <c:numRef>
              <c:f>'Pyramide age'!$AL$4:$AL$13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1C-4479-9994-3E37CE80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7068960"/>
        <c:axId val="97061472"/>
      </c:barChart>
      <c:catAx>
        <c:axId val="8286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60224"/>
        <c:crosses val="autoZero"/>
        <c:auto val="1"/>
        <c:lblAlgn val="ctr"/>
        <c:lblOffset val="100"/>
        <c:noMultiLvlLbl val="0"/>
      </c:catAx>
      <c:valAx>
        <c:axId val="82860224"/>
        <c:scaling>
          <c:orientation val="minMax"/>
          <c:max val="60"/>
          <c:min val="-60"/>
        </c:scaling>
        <c:delete val="0"/>
        <c:axPos val="b"/>
        <c:numFmt formatCode="General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61056"/>
        <c:crosses val="autoZero"/>
        <c:crossBetween val="between"/>
      </c:valAx>
      <c:valAx>
        <c:axId val="97061472"/>
        <c:scaling>
          <c:orientation val="maxMin"/>
          <c:max val="60"/>
          <c:min val="-60"/>
        </c:scaling>
        <c:delete val="0"/>
        <c:axPos val="t"/>
        <c:numFmt formatCode="General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068960"/>
        <c:crosses val="max"/>
        <c:crossBetween val="between"/>
      </c:valAx>
      <c:catAx>
        <c:axId val="9706896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97061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400117579421034"/>
          <c:y val="0.14042643682248737"/>
          <c:w val="0.71315870611912868"/>
          <c:h val="0.62785455976872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'Pyramide age'!$AC$3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'Pyramide age'!$AB$4:$AB$11</c:f>
              <c:strCache>
                <c:ptCount val="8"/>
                <c:pt idx="0">
                  <c:v>De 55 à 59 ans</c:v>
                </c:pt>
                <c:pt idx="1">
                  <c:v>De 50 à 54 ans</c:v>
                </c:pt>
                <c:pt idx="2">
                  <c:v>De 45 à 49 ans</c:v>
                </c:pt>
                <c:pt idx="3">
                  <c:v>De 40 à 44 ans</c:v>
                </c:pt>
                <c:pt idx="4">
                  <c:v>De 35 à 39 ans</c:v>
                </c:pt>
                <c:pt idx="5">
                  <c:v>De 30 à 34 ans</c:v>
                </c:pt>
                <c:pt idx="6">
                  <c:v>De 25 à 29 ans</c:v>
                </c:pt>
                <c:pt idx="7">
                  <c:v>De 18 à 24 ans</c:v>
                </c:pt>
              </c:strCache>
            </c:strRef>
          </c:cat>
          <c:val>
            <c:numRef>
              <c:f>'Pyramide age'!$AC$4:$AC$11</c:f>
              <c:numCache>
                <c:formatCode>General</c:formatCode>
                <c:ptCount val="8"/>
                <c:pt idx="0">
                  <c:v>25</c:v>
                </c:pt>
                <c:pt idx="1">
                  <c:v>22</c:v>
                </c:pt>
                <c:pt idx="2">
                  <c:v>6</c:v>
                </c:pt>
                <c:pt idx="3">
                  <c:v>15</c:v>
                </c:pt>
                <c:pt idx="4">
                  <c:v>17</c:v>
                </c:pt>
                <c:pt idx="5">
                  <c:v>22</c:v>
                </c:pt>
                <c:pt idx="6">
                  <c:v>19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3-4A08-BB06-5B57BCE91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2861056"/>
        <c:axId val="82860224"/>
      </c:barChart>
      <c:barChart>
        <c:barDir val="bar"/>
        <c:grouping val="clustered"/>
        <c:varyColors val="0"/>
        <c:ser>
          <c:idx val="1"/>
          <c:order val="1"/>
          <c:tx>
            <c:strRef>
              <c:f>'Pyramide age'!$U$3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0063391581415213"/>
                  <c:y val="-8.514656544062836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63-4A08-BB06-5B57BCE91D73}"/>
                </c:ext>
              </c:extLst>
            </c:dLbl>
            <c:dLbl>
              <c:idx val="1"/>
              <c:layout>
                <c:manualLayout>
                  <c:x val="-8.888888888888898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63-4A08-BB06-5B57BCE91D73}"/>
                </c:ext>
              </c:extLst>
            </c:dLbl>
            <c:dLbl>
              <c:idx val="2"/>
              <c:layout>
                <c:manualLayout>
                  <c:x val="-9.166666666666671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63-4A08-BB06-5B57BCE91D73}"/>
                </c:ext>
              </c:extLst>
            </c:dLbl>
            <c:dLbl>
              <c:idx val="3"/>
              <c:layout>
                <c:manualLayout>
                  <c:x val="-9.490704286964139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63-4A08-BB06-5B57BCE91D73}"/>
                </c:ext>
              </c:extLst>
            </c:dLbl>
            <c:dLbl>
              <c:idx val="4"/>
              <c:layout>
                <c:manualLayout>
                  <c:x val="4.166666666666666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63-4A08-BB06-5B57BCE91D73}"/>
                </c:ext>
              </c:extLst>
            </c:dLbl>
            <c:dLbl>
              <c:idx val="5"/>
              <c:layout>
                <c:manualLayout>
                  <c:x val="4.166776027996505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63-4A08-BB06-5B57BCE91D73}"/>
                </c:ext>
              </c:extLst>
            </c:dLbl>
            <c:dLbl>
              <c:idx val="6"/>
              <c:layout>
                <c:manualLayout>
                  <c:x val="3.888888888888899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63-4A08-BB06-5B57BCE91D73}"/>
                </c:ext>
              </c:extLst>
            </c:dLbl>
            <c:dLbl>
              <c:idx val="7"/>
              <c:layout>
                <c:manualLayout>
                  <c:x val="-9.166666666666671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63-4A08-BB06-5B57BCE91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'Pyramide age'!$R$4:$R$12</c:f>
              <c:strCache>
                <c:ptCount val="9"/>
                <c:pt idx="0">
                  <c:v>De 55 à 59 ans</c:v>
                </c:pt>
                <c:pt idx="1">
                  <c:v>De 60 à 64 ans</c:v>
                </c:pt>
                <c:pt idx="2">
                  <c:v>De 50 à 54 ans</c:v>
                </c:pt>
                <c:pt idx="3">
                  <c:v>De 45 à 49 ans</c:v>
                </c:pt>
                <c:pt idx="4">
                  <c:v>De 40 à 44 ans</c:v>
                </c:pt>
                <c:pt idx="5">
                  <c:v>De 35 à 39 ans</c:v>
                </c:pt>
                <c:pt idx="6">
                  <c:v>De 30 à 34 ans</c:v>
                </c:pt>
                <c:pt idx="7">
                  <c:v>De 25 à 29 ans</c:v>
                </c:pt>
                <c:pt idx="8">
                  <c:v>De 18 à 24 ans</c:v>
                </c:pt>
              </c:strCache>
            </c:strRef>
          </c:cat>
          <c:val>
            <c:numRef>
              <c:f>'Pyramide age'!$AD$4:$AD$11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63-4A08-BB06-5B57BCE91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7068960"/>
        <c:axId val="97061472"/>
      </c:barChart>
      <c:catAx>
        <c:axId val="8286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60224"/>
        <c:crosses val="autoZero"/>
        <c:auto val="1"/>
        <c:lblAlgn val="ctr"/>
        <c:lblOffset val="100"/>
        <c:noMultiLvlLbl val="0"/>
      </c:catAx>
      <c:valAx>
        <c:axId val="82860224"/>
        <c:scaling>
          <c:orientation val="minMax"/>
          <c:max val="50"/>
          <c:min val="-50"/>
        </c:scaling>
        <c:delete val="0"/>
        <c:axPos val="b"/>
        <c:numFmt formatCode="General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61056"/>
        <c:crosses val="autoZero"/>
        <c:crossBetween val="between"/>
      </c:valAx>
      <c:valAx>
        <c:axId val="97061472"/>
        <c:scaling>
          <c:orientation val="maxMin"/>
          <c:max val="50"/>
          <c:min val="-50"/>
        </c:scaling>
        <c:delete val="0"/>
        <c:axPos val="t"/>
        <c:numFmt formatCode="General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068960"/>
        <c:crosses val="max"/>
        <c:crossBetween val="between"/>
      </c:valAx>
      <c:catAx>
        <c:axId val="9706896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97061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99828822484154"/>
          <c:y val="6.8268872241618928E-2"/>
          <c:w val="0.43535134560834365"/>
          <c:h val="0.81069139648634014"/>
        </c:manualLayout>
      </c:layout>
      <c:pieChart>
        <c:varyColors val="1"/>
        <c:ser>
          <c:idx val="1"/>
          <c:order val="0"/>
          <c:tx>
            <c:v>Total</c:v>
          </c:tx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Homme</c:v>
              </c:pt>
              <c:pt idx="1">
                <c:v>Femme</c:v>
              </c:pt>
            </c:strLit>
          </c:cat>
          <c:val>
            <c:numRef>
              <c:f>'Pyramide age'!$AC$13:$AD$13</c:f>
              <c:numCache>
                <c:formatCode>0.00%</c:formatCode>
                <c:ptCount val="2"/>
                <c:pt idx="0">
                  <c:v>0.91836734693877553</c:v>
                </c:pt>
                <c:pt idx="1">
                  <c:v>4.0816326530612242E-2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F-42E9-9843-ED659C19FD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1"/>
                <c:tx>
                  <c:v>Total</c:v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2-6F1F-42E9-9843-ED659C19FDB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4-6F1F-42E9-9843-ED659C19FDB1}"/>
                    </c:ext>
                  </c:extLst>
                </c:dPt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78%</a:t>
                          </a:r>
                          <a:endParaRPr lang="en-US" dirty="0"/>
                        </a:p>
                      </c:rich>
                    </c:tx>
                    <c:dLblPos val="in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6F1F-42E9-9843-ED659C19FDB1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22%</a:t>
                          </a:r>
                          <a:endParaRPr lang="en-US" dirty="0"/>
                        </a:p>
                      </c:rich>
                    </c:tx>
                    <c:dLblPos val="in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6F1F-42E9-9843-ED659C19FDB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[2]Feuil2!$B$1:$C$1</c15:sqref>
                        </c15:formulaRef>
                      </c:ext>
                    </c:extLst>
                    <c:strCache>
                      <c:ptCount val="2"/>
                      <c:pt idx="0">
                        <c:v>#REF!</c:v>
                      </c:pt>
                      <c:pt idx="1">
                        <c:v>#REF!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[2]Feuil2!$B$8:$C$8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F1F-42E9-9843-ED659C19FDB1}"/>
                  </c:ext>
                </c:extLst>
              </c15:ser>
            </c15:filteredPieSeries>
          </c:ext>
        </c:extLst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b="0">
          <a:latin typeface="+mn-lt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Pyramide</a:t>
            </a:r>
            <a:r>
              <a:rPr lang="fr-FR" baseline="0"/>
              <a:t> des Âges - PFC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'Pyramide age'!$D$3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'Pyramide age'!$D$4:$D$7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'Pyramide age'!$C$4:$C$12</c15:sqref>
                        </c15:formulaRef>
                      </c:ext>
                    </c:extLst>
                    <c:strCache>
                      <c:ptCount val="9"/>
                      <c:pt idx="0">
                        <c:v>De 55 à 59 ans</c:v>
                      </c:pt>
                      <c:pt idx="1">
                        <c:v>De 60 à 64 ans</c:v>
                      </c:pt>
                      <c:pt idx="2">
                        <c:v>De 50 à 54 ans</c:v>
                      </c:pt>
                      <c:pt idx="3">
                        <c:v>De 45 à 49 ans</c:v>
                      </c:pt>
                      <c:pt idx="4">
                        <c:v>De 40 à 44 ans</c:v>
                      </c:pt>
                      <c:pt idx="5">
                        <c:v>De 35 à 39 ans</c:v>
                      </c:pt>
                      <c:pt idx="6">
                        <c:v>De 30 à 34 ans</c:v>
                      </c:pt>
                      <c:pt idx="7">
                        <c:v>De 25 à 29 ans</c:v>
                      </c:pt>
                      <c:pt idx="8">
                        <c:v>De 0 à 24 ans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95-49DE-A84D-BCC21104BF48}"/>
            </c:ext>
          </c:extLst>
        </c:ser>
        <c:ser>
          <c:idx val="2"/>
          <c:order val="1"/>
          <c:tx>
            <c:strRef>
              <c:f>'Pyramide age'!$E$3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9FECFE2-43C7-490A-A17A-6648118654CF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295-49DE-A84D-BCC21104BF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D1F1BC-07A0-42DB-A4C0-C35F47EDB30F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592-40DD-8829-9DA546973B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8DF2721-F18C-46A1-BED4-AF99701DF7E6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592-40DD-8829-9DA546973B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D4F5E4-88E6-4062-B581-C047548DF17B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592-40DD-8829-9DA546973B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92-40DD-8829-9DA546973BB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92-40DD-8829-9DA546973BB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92-40DD-8829-9DA546973BB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92-40DD-8829-9DA546973BB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MA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92-40DD-8829-9DA546973B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'Pyramide age'!$E$4:$E$12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'Pyramide age'!$C$4:$C$12</c15:sqref>
                        </c15:formulaRef>
                      </c:ext>
                    </c:extLst>
                    <c:strCache>
                      <c:ptCount val="9"/>
                      <c:pt idx="0">
                        <c:v>De 55 à 59 ans</c:v>
                      </c:pt>
                      <c:pt idx="1">
                        <c:v>De 60 à 64 ans</c:v>
                      </c:pt>
                      <c:pt idx="2">
                        <c:v>De 50 à 54 ans</c:v>
                      </c:pt>
                      <c:pt idx="3">
                        <c:v>De 45 à 49 ans</c:v>
                      </c:pt>
                      <c:pt idx="4">
                        <c:v>De 40 à 44 ans</c:v>
                      </c:pt>
                      <c:pt idx="5">
                        <c:v>De 35 à 39 ans</c:v>
                      </c:pt>
                      <c:pt idx="6">
                        <c:v>De 30 à 34 ans</c:v>
                      </c:pt>
                      <c:pt idx="7">
                        <c:v>De 25 à 29 ans</c:v>
                      </c:pt>
                      <c:pt idx="8">
                        <c:v>De 0 à 24 ans</c:v>
                      </c:pt>
                    </c:strCache>
                  </c:strRef>
                </c15:cat>
              </c15:filteredCategoryTitle>
            </c:ext>
            <c:ext xmlns:c15="http://schemas.microsoft.com/office/drawing/2012/chart" uri="{02D57815-91ED-43cb-92C2-25804820EDAC}">
              <c15:datalabelsRange>
                <c15:f>'Pyramide age'!$E$4:$E$7</c15:f>
                <c15:dlblRangeCach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B295-49DE-A84D-BCC21104B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2619119"/>
        <c:axId val="145813023"/>
      </c:barChart>
      <c:catAx>
        <c:axId val="82619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813023"/>
        <c:crosses val="autoZero"/>
        <c:auto val="1"/>
        <c:lblAlgn val="ctr"/>
        <c:lblOffset val="100"/>
        <c:noMultiLvlLbl val="0"/>
      </c:catAx>
      <c:valAx>
        <c:axId val="145813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61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Pyramide des Âges - Siège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'Pyramide age'!$I$3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'Pyramide age'!$I$4:$I$12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'Pyramide age'!$H$4:$H$12</c15:sqref>
                        </c15:formulaRef>
                      </c:ext>
                    </c:extLst>
                    <c:strCache>
                      <c:ptCount val="9"/>
                      <c:pt idx="0">
                        <c:v>De 55 à 59 ans</c:v>
                      </c:pt>
                      <c:pt idx="1">
                        <c:v>De 60 à 64 ans</c:v>
                      </c:pt>
                      <c:pt idx="2">
                        <c:v>De 50 à 54 ans</c:v>
                      </c:pt>
                      <c:pt idx="3">
                        <c:v>De 45 à 49 ans</c:v>
                      </c:pt>
                      <c:pt idx="4">
                        <c:v>De 40 à 44 ans</c:v>
                      </c:pt>
                      <c:pt idx="5">
                        <c:v>De 35 à 39 ans</c:v>
                      </c:pt>
                      <c:pt idx="6">
                        <c:v>De 30 à 34 ans</c:v>
                      </c:pt>
                      <c:pt idx="7">
                        <c:v>De 25 à 29 ans</c:v>
                      </c:pt>
                      <c:pt idx="8">
                        <c:v>De 0 à 24 ans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A13-485F-9B82-9A1101683AFD}"/>
            </c:ext>
          </c:extLst>
        </c:ser>
        <c:ser>
          <c:idx val="2"/>
          <c:order val="1"/>
          <c:tx>
            <c:strRef>
              <c:f>'Pyramide age'!$K$3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97D7044-B089-4493-A37F-755E5B55F419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A13-485F-9B82-9A1101683A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9E8903-5E21-4647-80C7-16EF0D6F844D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A8B-4544-A09C-224CB0C6A7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B74BE1F-575F-4ADB-9872-24D173DB6C3B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A8B-4544-A09C-224CB0C6A7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4636514-D28F-4D54-B233-D3F36EF4DDB3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A8B-4544-A09C-224CB0C6A7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A8B-4544-A09C-224CB0C6A7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A8B-4544-A09C-224CB0C6A7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A8B-4544-A09C-224CB0C6A7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8B-4544-A09C-224CB0C6A7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A8B-4544-A09C-224CB0C6A7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'Pyramide age'!$K$4:$K$12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'Pyramide age'!$H$4:$H$12</c15:sqref>
                        </c15:formulaRef>
                      </c:ext>
                    </c:extLst>
                    <c:strCache>
                      <c:ptCount val="9"/>
                      <c:pt idx="0">
                        <c:v>De 55 à 59 ans</c:v>
                      </c:pt>
                      <c:pt idx="1">
                        <c:v>De 60 à 64 ans</c:v>
                      </c:pt>
                      <c:pt idx="2">
                        <c:v>De 50 à 54 ans</c:v>
                      </c:pt>
                      <c:pt idx="3">
                        <c:v>De 45 à 49 ans</c:v>
                      </c:pt>
                      <c:pt idx="4">
                        <c:v>De 40 à 44 ans</c:v>
                      </c:pt>
                      <c:pt idx="5">
                        <c:v>De 35 à 39 ans</c:v>
                      </c:pt>
                      <c:pt idx="6">
                        <c:v>De 30 à 34 ans</c:v>
                      </c:pt>
                      <c:pt idx="7">
                        <c:v>De 25 à 29 ans</c:v>
                      </c:pt>
                      <c:pt idx="8">
                        <c:v>De 0 à 24 ans</c:v>
                      </c:pt>
                    </c:strCache>
                  </c:strRef>
                </c15:cat>
              </c15:filteredCategoryTitle>
            </c:ext>
            <c:ext xmlns:c15="http://schemas.microsoft.com/office/drawing/2012/chart" uri="{02D57815-91ED-43cb-92C2-25804820EDAC}">
              <c15:datalabelsRange>
                <c15:f>'Pyramide age'!$J$4:$J$7</c15:f>
                <c15:dlblRangeCach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AA13-485F-9B82-9A1101683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6036911"/>
        <c:axId val="304660127"/>
      </c:barChart>
      <c:catAx>
        <c:axId val="30603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4660127"/>
        <c:crosses val="autoZero"/>
        <c:auto val="1"/>
        <c:lblAlgn val="ctr"/>
        <c:lblOffset val="100"/>
        <c:noMultiLvlLbl val="0"/>
      </c:catAx>
      <c:valAx>
        <c:axId val="30466012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0603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Pyramide des Âges - Jorf Lasfar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'Pyramide age'!$N$3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'Pyramide age'!$N$4:$N$12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'Pyramide age'!$M$4:$M$12</c15:sqref>
                        </c15:formulaRef>
                      </c:ext>
                    </c:extLst>
                    <c:strCache>
                      <c:ptCount val="9"/>
                      <c:pt idx="0">
                        <c:v>De 55 à 59 ans</c:v>
                      </c:pt>
                      <c:pt idx="1">
                        <c:v>De 60 à 64 ans</c:v>
                      </c:pt>
                      <c:pt idx="2">
                        <c:v>De 50 à 54 ans</c:v>
                      </c:pt>
                      <c:pt idx="3">
                        <c:v>De 45 à 49 ans</c:v>
                      </c:pt>
                      <c:pt idx="4">
                        <c:v>De 40 à 44 ans</c:v>
                      </c:pt>
                      <c:pt idx="5">
                        <c:v>De 35 à 39 ans</c:v>
                      </c:pt>
                      <c:pt idx="6">
                        <c:v>De 30 à 34 ans</c:v>
                      </c:pt>
                      <c:pt idx="7">
                        <c:v>De 25 à 29 ans</c:v>
                      </c:pt>
                      <c:pt idx="8">
                        <c:v>De 18 à 24 ans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F1F-4DF9-9C61-099A445BD721}"/>
            </c:ext>
          </c:extLst>
        </c:ser>
        <c:ser>
          <c:idx val="2"/>
          <c:order val="1"/>
          <c:tx>
            <c:strRef>
              <c:f>'Pyramide age'!$P$3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6CA3F8C-C05F-419F-8FCB-6FDE6A8F459D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F1F-4DF9-9C61-099A445BD7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7F7183-2D37-47A4-AADD-A2FF4C72B5BC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AFD-4D91-9A37-5CE1251FFC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FBFCB8-EE2D-4647-8A99-14DA14E93085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AFD-4D91-9A37-5CE1251FFC0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1F-4DF9-9C61-099A445BD72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AFD-4D91-9A37-5CE1251FFC0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AFD-4D91-9A37-5CE1251FFC0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AFD-4D91-9A37-5CE1251FFC0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AFD-4D91-9A37-5CE1251FFC0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AFD-4D91-9A37-5CE1251FFC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'Pyramide age'!$P$4:$P$12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'Pyramide age'!$M$4:$M$12</c15:sqref>
                        </c15:formulaRef>
                      </c:ext>
                    </c:extLst>
                    <c:strCache>
                      <c:ptCount val="9"/>
                      <c:pt idx="0">
                        <c:v>De 55 à 59 ans</c:v>
                      </c:pt>
                      <c:pt idx="1">
                        <c:v>De 60 à 64 ans</c:v>
                      </c:pt>
                      <c:pt idx="2">
                        <c:v>De 50 à 54 ans</c:v>
                      </c:pt>
                      <c:pt idx="3">
                        <c:v>De 45 à 49 ans</c:v>
                      </c:pt>
                      <c:pt idx="4">
                        <c:v>De 40 à 44 ans</c:v>
                      </c:pt>
                      <c:pt idx="5">
                        <c:v>De 35 à 39 ans</c:v>
                      </c:pt>
                      <c:pt idx="6">
                        <c:v>De 30 à 34 ans</c:v>
                      </c:pt>
                      <c:pt idx="7">
                        <c:v>De 25 à 29 ans</c:v>
                      </c:pt>
                      <c:pt idx="8">
                        <c:v>De 18 à 24 ans</c:v>
                      </c:pt>
                    </c:strCache>
                  </c:strRef>
                </c15:cat>
              </c15:filteredCategoryTitle>
            </c:ext>
            <c:ext xmlns:c15="http://schemas.microsoft.com/office/drawing/2012/chart" uri="{02D57815-91ED-43cb-92C2-25804820EDAC}">
              <c15:datalabelsRange>
                <c15:f>'Pyramide age'!$O$4:$O$7</c15:f>
                <c15:dlblRangeCach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EF1F-4DF9-9C61-099A445BD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7733871"/>
        <c:axId val="28231919"/>
      </c:barChart>
      <c:catAx>
        <c:axId val="14773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31919"/>
        <c:crosses val="autoZero"/>
        <c:auto val="1"/>
        <c:lblAlgn val="ctr"/>
        <c:lblOffset val="100"/>
        <c:noMultiLvlLbl val="0"/>
      </c:catAx>
      <c:valAx>
        <c:axId val="28231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77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Pyramide</a:t>
            </a:r>
            <a:r>
              <a:rPr lang="fr-FR" baseline="0"/>
              <a:t> des Âges - Nador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'Pyramide age'!$S$3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'Pyramide age'!$S$4:$S$12</c:f>
              <c:numCache>
                <c:formatCode>General</c:formatCode>
                <c:ptCount val="9"/>
                <c:pt idx="0">
                  <c:v>25</c:v>
                </c:pt>
                <c:pt idx="1">
                  <c:v>5</c:v>
                </c:pt>
                <c:pt idx="2">
                  <c:v>22</c:v>
                </c:pt>
                <c:pt idx="3">
                  <c:v>6</c:v>
                </c:pt>
                <c:pt idx="4">
                  <c:v>15</c:v>
                </c:pt>
                <c:pt idx="5">
                  <c:v>17</c:v>
                </c:pt>
                <c:pt idx="6">
                  <c:v>22</c:v>
                </c:pt>
                <c:pt idx="7">
                  <c:v>19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'Pyramide age'!$R$4:$R$12</c15:sqref>
                        </c15:formulaRef>
                      </c:ext>
                    </c:extLst>
                    <c:strCache>
                      <c:ptCount val="9"/>
                      <c:pt idx="0">
                        <c:v>De 55 à 59 ans</c:v>
                      </c:pt>
                      <c:pt idx="1">
                        <c:v>De 60 à 64 ans</c:v>
                      </c:pt>
                      <c:pt idx="2">
                        <c:v>De 50 à 54 ans</c:v>
                      </c:pt>
                      <c:pt idx="3">
                        <c:v>De 45 à 49 ans</c:v>
                      </c:pt>
                      <c:pt idx="4">
                        <c:v>De 40 à 44 ans</c:v>
                      </c:pt>
                      <c:pt idx="5">
                        <c:v>De 35 à 39 ans</c:v>
                      </c:pt>
                      <c:pt idx="6">
                        <c:v>De 30 à 34 ans</c:v>
                      </c:pt>
                      <c:pt idx="7">
                        <c:v>De 25 à 29 ans</c:v>
                      </c:pt>
                      <c:pt idx="8">
                        <c:v>De 18 à 24 ans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383-4C3D-9458-64FD16C5E608}"/>
            </c:ext>
          </c:extLst>
        </c:ser>
        <c:ser>
          <c:idx val="2"/>
          <c:order val="1"/>
          <c:tx>
            <c:strRef>
              <c:f>'Pyramide age'!$U$3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D8E1D1C-08D1-4678-8F6C-83251D289017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8A4-41B6-8658-CE930E9BEB7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B03B96-D7FB-4F54-A1D1-7B2DD5BA0969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8A4-41B6-8658-CE930E9BEB7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83-4C3D-9458-64FD16C5E6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BEFFABD-395F-4E15-A385-4BB257A4B3EA}" type="CELLRANGE">
                      <a:rPr lang="en-US"/>
                      <a:pPr/>
                      <a:t>[PLAGECELL]</a:t>
                    </a:fld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A4-41B6-8658-CE930E9BEB7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A4-41B6-8658-CE930E9BEB7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8A4-41B6-8658-CE930E9BEB7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8A4-41B6-8658-CE930E9BEB7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8A4-41B6-8658-CE930E9BEB7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MA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8A4-41B6-8658-CE930E9BEB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'Pyramide age'!$U$4:$U$12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-3</c:v>
                </c:pt>
                <c:pt idx="7">
                  <c:v>-1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'Pyramide age'!$R$4:$R$12</c15:sqref>
                        </c15:formulaRef>
                      </c:ext>
                    </c:extLst>
                    <c:strCache>
                      <c:ptCount val="9"/>
                      <c:pt idx="0">
                        <c:v>De 55 à 59 ans</c:v>
                      </c:pt>
                      <c:pt idx="1">
                        <c:v>De 60 à 64 ans</c:v>
                      </c:pt>
                      <c:pt idx="2">
                        <c:v>De 50 à 54 ans</c:v>
                      </c:pt>
                      <c:pt idx="3">
                        <c:v>De 45 à 49 ans</c:v>
                      </c:pt>
                      <c:pt idx="4">
                        <c:v>De 40 à 44 ans</c:v>
                      </c:pt>
                      <c:pt idx="5">
                        <c:v>De 35 à 39 ans</c:v>
                      </c:pt>
                      <c:pt idx="6">
                        <c:v>De 30 à 34 ans</c:v>
                      </c:pt>
                      <c:pt idx="7">
                        <c:v>De 25 à 29 ans</c:v>
                      </c:pt>
                      <c:pt idx="8">
                        <c:v>De 18 à 24 ans</c:v>
                      </c:pt>
                    </c:strCache>
                  </c:strRef>
                </c15:cat>
              </c15:filteredCategoryTitle>
            </c:ext>
            <c:ext xmlns:c15="http://schemas.microsoft.com/office/drawing/2012/chart" uri="{02D57815-91ED-43cb-92C2-25804820EDAC}">
              <c15:datalabelsRange>
                <c15:f>'Pyramide age'!$T$4:$T$7</c15:f>
                <c15:dlblRangeCach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383-4C3D-9458-64FD16C5E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2494463"/>
        <c:axId val="304626847"/>
      </c:barChart>
      <c:catAx>
        <c:axId val="40249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4626847"/>
        <c:crosses val="autoZero"/>
        <c:auto val="1"/>
        <c:lblAlgn val="ctr"/>
        <c:lblOffset val="100"/>
        <c:noMultiLvlLbl val="0"/>
      </c:catAx>
      <c:valAx>
        <c:axId val="304626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249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400117579421034"/>
          <c:y val="0.14042643682248737"/>
          <c:w val="0.71315870611912868"/>
          <c:h val="0.62785455976872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'Pyramide age'!$AC$3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'Pyramide age'!$AB$4:$AB$11</c:f>
              <c:strCache>
                <c:ptCount val="8"/>
                <c:pt idx="0">
                  <c:v>De 55 à 59 ans</c:v>
                </c:pt>
                <c:pt idx="1">
                  <c:v>De 50 à 54 ans</c:v>
                </c:pt>
                <c:pt idx="2">
                  <c:v>De 45 à 49 ans</c:v>
                </c:pt>
                <c:pt idx="3">
                  <c:v>De 40 à 44 ans</c:v>
                </c:pt>
                <c:pt idx="4">
                  <c:v>De 35 à 39 ans</c:v>
                </c:pt>
                <c:pt idx="5">
                  <c:v>De 30 à 34 ans</c:v>
                </c:pt>
                <c:pt idx="6">
                  <c:v>De 25 à 29 ans</c:v>
                </c:pt>
                <c:pt idx="7">
                  <c:v>De 18 à 24 ans</c:v>
                </c:pt>
              </c:strCache>
            </c:strRef>
          </c:cat>
          <c:val>
            <c:numRef>
              <c:f>'Pyramide age'!$AC$4:$AC$11</c:f>
              <c:numCache>
                <c:formatCode>General</c:formatCode>
                <c:ptCount val="8"/>
                <c:pt idx="0">
                  <c:v>25</c:v>
                </c:pt>
                <c:pt idx="1">
                  <c:v>22</c:v>
                </c:pt>
                <c:pt idx="2">
                  <c:v>6</c:v>
                </c:pt>
                <c:pt idx="3">
                  <c:v>15</c:v>
                </c:pt>
                <c:pt idx="4">
                  <c:v>17</c:v>
                </c:pt>
                <c:pt idx="5">
                  <c:v>22</c:v>
                </c:pt>
                <c:pt idx="6">
                  <c:v>19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3-44D6-ABD0-998777DE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2861056"/>
        <c:axId val="82860224"/>
      </c:barChart>
      <c:barChart>
        <c:barDir val="bar"/>
        <c:grouping val="clustered"/>
        <c:varyColors val="0"/>
        <c:ser>
          <c:idx val="1"/>
          <c:order val="1"/>
          <c:tx>
            <c:strRef>
              <c:f>'Pyramide age'!$U$3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0154095701540962"/>
                  <c:y val="-8.85658045775303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ED1-4BFC-A9F4-A61A533065AB}"/>
                </c:ext>
              </c:extLst>
            </c:dLbl>
            <c:dLbl>
              <c:idx val="1"/>
              <c:layout>
                <c:manualLayout>
                  <c:x val="-8.888888888888898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ED1-4BFC-A9F4-A61A533065AB}"/>
                </c:ext>
              </c:extLst>
            </c:dLbl>
            <c:dLbl>
              <c:idx val="2"/>
              <c:layout>
                <c:manualLayout>
                  <c:x val="-9.166666666666671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ED1-4BFC-A9F4-A61A533065AB}"/>
                </c:ext>
              </c:extLst>
            </c:dLbl>
            <c:dLbl>
              <c:idx val="3"/>
              <c:layout>
                <c:manualLayout>
                  <c:x val="-9.490704286964139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ED1-4BFC-A9F4-A61A533065AB}"/>
                </c:ext>
              </c:extLst>
            </c:dLbl>
            <c:dLbl>
              <c:idx val="4"/>
              <c:layout>
                <c:manualLayout>
                  <c:x val="4.166666666666666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43-44D6-ABD0-998777DE86FA}"/>
                </c:ext>
              </c:extLst>
            </c:dLbl>
            <c:dLbl>
              <c:idx val="5"/>
              <c:layout>
                <c:manualLayout>
                  <c:x val="4.166776027996505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ED1-4BFC-A9F4-A61A533065AB}"/>
                </c:ext>
              </c:extLst>
            </c:dLbl>
            <c:dLbl>
              <c:idx val="6"/>
              <c:layout>
                <c:manualLayout>
                  <c:x val="3.888888888888899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ED1-4BFC-A9F4-A61A533065AB}"/>
                </c:ext>
              </c:extLst>
            </c:dLbl>
            <c:dLbl>
              <c:idx val="7"/>
              <c:layout>
                <c:manualLayout>
                  <c:x val="-9.166666666666671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ED1-4BFC-A9F4-A61A533065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'Pyramide age'!$R$4:$R$12</c:f>
              <c:strCache>
                <c:ptCount val="9"/>
                <c:pt idx="0">
                  <c:v>De 55 à 59 ans</c:v>
                </c:pt>
                <c:pt idx="1">
                  <c:v>De 60 à 64 ans</c:v>
                </c:pt>
                <c:pt idx="2">
                  <c:v>De 50 à 54 ans</c:v>
                </c:pt>
                <c:pt idx="3">
                  <c:v>De 45 à 49 ans</c:v>
                </c:pt>
                <c:pt idx="4">
                  <c:v>De 40 à 44 ans</c:v>
                </c:pt>
                <c:pt idx="5">
                  <c:v>De 35 à 39 ans</c:v>
                </c:pt>
                <c:pt idx="6">
                  <c:v>De 30 à 34 ans</c:v>
                </c:pt>
                <c:pt idx="7">
                  <c:v>De 25 à 29 ans</c:v>
                </c:pt>
                <c:pt idx="8">
                  <c:v>De 18 à 24 ans</c:v>
                </c:pt>
              </c:strCache>
            </c:strRef>
          </c:cat>
          <c:val>
            <c:numRef>
              <c:f>'Pyramide age'!$AD$4:$AD$11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43-44D6-ABD0-998777DE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7068960"/>
        <c:axId val="97061472"/>
      </c:barChart>
      <c:catAx>
        <c:axId val="8286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60224"/>
        <c:crosses val="autoZero"/>
        <c:auto val="1"/>
        <c:lblAlgn val="ctr"/>
        <c:lblOffset val="100"/>
        <c:noMultiLvlLbl val="0"/>
      </c:catAx>
      <c:valAx>
        <c:axId val="82860224"/>
        <c:scaling>
          <c:orientation val="minMax"/>
          <c:max val="50"/>
          <c:min val="-50"/>
        </c:scaling>
        <c:delete val="0"/>
        <c:axPos val="b"/>
        <c:numFmt formatCode="General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61056"/>
        <c:crosses val="autoZero"/>
        <c:crossBetween val="between"/>
      </c:valAx>
      <c:valAx>
        <c:axId val="97061472"/>
        <c:scaling>
          <c:orientation val="maxMin"/>
          <c:max val="50"/>
          <c:min val="-50"/>
        </c:scaling>
        <c:delete val="0"/>
        <c:axPos val="t"/>
        <c:numFmt formatCode="General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068960"/>
        <c:crosses val="max"/>
        <c:crossBetween val="between"/>
      </c:valAx>
      <c:catAx>
        <c:axId val="9706896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97061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FD7B33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400117579421034"/>
          <c:y val="0.14042643682248737"/>
          <c:w val="0.71315870611912868"/>
          <c:h val="0.62785455976872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'Pyramide age'!$AC$3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'Pyramide age'!$AJ$4:$AJ$13</c:f>
              <c:strCache>
                <c:ptCount val="10"/>
                <c:pt idx="0">
                  <c:v>De 0 à 3 ans</c:v>
                </c:pt>
                <c:pt idx="1">
                  <c:v>De 3 à 6 ans</c:v>
                </c:pt>
                <c:pt idx="2">
                  <c:v>De 7 à 10 ans</c:v>
                </c:pt>
                <c:pt idx="3">
                  <c:v>De 11 à 14 ans</c:v>
                </c:pt>
                <c:pt idx="4">
                  <c:v>De 15 à 19 ans</c:v>
                </c:pt>
                <c:pt idx="5">
                  <c:v>De 20 à 24 ans</c:v>
                </c:pt>
                <c:pt idx="6">
                  <c:v>De 25 à 29 ans</c:v>
                </c:pt>
                <c:pt idx="7">
                  <c:v>De 30 à 34 ans</c:v>
                </c:pt>
                <c:pt idx="8">
                  <c:v>De 35 à 39 ans</c:v>
                </c:pt>
                <c:pt idx="9">
                  <c:v>De 40 à 49 ans</c:v>
                </c:pt>
              </c:strCache>
            </c:strRef>
          </c:cat>
          <c:val>
            <c:numRef>
              <c:f>'Pyramide age'!$AK$4:$AK$13</c:f>
              <c:numCache>
                <c:formatCode>General</c:formatCode>
                <c:ptCount val="10"/>
                <c:pt idx="0">
                  <c:v>41</c:v>
                </c:pt>
                <c:pt idx="1">
                  <c:v>23</c:v>
                </c:pt>
                <c:pt idx="2">
                  <c:v>4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36</c:v>
                </c:pt>
                <c:pt idx="7">
                  <c:v>6</c:v>
                </c:pt>
                <c:pt idx="8">
                  <c:v>10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3-44D6-ABD0-998777DE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2861056"/>
        <c:axId val="82860224"/>
      </c:barChart>
      <c:barChart>
        <c:barDir val="bar"/>
        <c:grouping val="clustered"/>
        <c:varyColors val="0"/>
        <c:ser>
          <c:idx val="1"/>
          <c:order val="1"/>
          <c:tx>
            <c:strRef>
              <c:f>'Pyramide age'!$U$3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6070460704606998E-2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DD-472F-8EBA-5AEDC837A92D}"/>
                </c:ext>
              </c:extLst>
            </c:dLbl>
            <c:dLbl>
              <c:idx val="1"/>
              <c:layout>
                <c:manualLayout>
                  <c:x val="4.607046070460699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0DD-472F-8EBA-5AEDC837A92D}"/>
                </c:ext>
              </c:extLst>
            </c:dLbl>
            <c:dLbl>
              <c:idx val="2"/>
              <c:layout>
                <c:manualLayout>
                  <c:x val="-9.485094850948509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DD-472F-8EBA-5AEDC837A92D}"/>
                </c:ext>
              </c:extLst>
            </c:dLbl>
            <c:dLbl>
              <c:idx val="3"/>
              <c:layout>
                <c:manualLayout>
                  <c:x val="4.8780487804878099E-2"/>
                  <c:y val="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DD-472F-8EBA-5AEDC837A92D}"/>
                </c:ext>
              </c:extLst>
            </c:dLbl>
            <c:dLbl>
              <c:idx val="4"/>
              <c:layout>
                <c:manualLayout>
                  <c:x val="-9.756097560975610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43-44D6-ABD0-998777DE86FA}"/>
                </c:ext>
              </c:extLst>
            </c:dLbl>
            <c:dLbl>
              <c:idx val="5"/>
              <c:layout>
                <c:manualLayout>
                  <c:x val="-9.7560975609756101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DD-472F-8EBA-5AEDC837A92D}"/>
                </c:ext>
              </c:extLst>
            </c:dLbl>
            <c:dLbl>
              <c:idx val="6"/>
              <c:layout>
                <c:manualLayout>
                  <c:x val="-9.4850948509485097E-2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DD-472F-8EBA-5AEDC837A92D}"/>
                </c:ext>
              </c:extLst>
            </c:dLbl>
            <c:dLbl>
              <c:idx val="7"/>
              <c:layout>
                <c:manualLayout>
                  <c:x val="-9.214092140921409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DD-472F-8EBA-5AEDC837A92D}"/>
                </c:ext>
              </c:extLst>
            </c:dLbl>
            <c:dLbl>
              <c:idx val="8"/>
              <c:layout>
                <c:manualLayout>
                  <c:x val="4.8780487804878099E-2"/>
                  <c:y val="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DD-472F-8EBA-5AEDC837A92D}"/>
                </c:ext>
              </c:extLst>
            </c:dLbl>
            <c:dLbl>
              <c:idx val="9"/>
              <c:layout>
                <c:manualLayout>
                  <c:x val="-8.6720867208672087E-2"/>
                  <c:y val="-4.62962962962965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DD-472F-8EBA-5AEDC837A9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'Pyramide age'!$AJ$4:$AJ$13</c:f>
              <c:strCache>
                <c:ptCount val="10"/>
                <c:pt idx="0">
                  <c:v>De 0 à 3 ans</c:v>
                </c:pt>
                <c:pt idx="1">
                  <c:v>De 3 à 6 ans</c:v>
                </c:pt>
                <c:pt idx="2">
                  <c:v>De 7 à 10 ans</c:v>
                </c:pt>
                <c:pt idx="3">
                  <c:v>De 11 à 14 ans</c:v>
                </c:pt>
                <c:pt idx="4">
                  <c:v>De 15 à 19 ans</c:v>
                </c:pt>
                <c:pt idx="5">
                  <c:v>De 20 à 24 ans</c:v>
                </c:pt>
                <c:pt idx="6">
                  <c:v>De 25 à 29 ans</c:v>
                </c:pt>
                <c:pt idx="7">
                  <c:v>De 30 à 34 ans</c:v>
                </c:pt>
                <c:pt idx="8">
                  <c:v>De 35 à 39 ans</c:v>
                </c:pt>
                <c:pt idx="9">
                  <c:v>De 40 à 49 ans</c:v>
                </c:pt>
              </c:strCache>
            </c:strRef>
          </c:cat>
          <c:val>
            <c:numRef>
              <c:f>'Pyramide age'!$AL$4:$AL$13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43-44D6-ABD0-998777DE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7068960"/>
        <c:axId val="97061472"/>
      </c:barChart>
      <c:catAx>
        <c:axId val="8286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60224"/>
        <c:crosses val="autoZero"/>
        <c:auto val="1"/>
        <c:lblAlgn val="ctr"/>
        <c:lblOffset val="100"/>
        <c:noMultiLvlLbl val="0"/>
      </c:catAx>
      <c:valAx>
        <c:axId val="82860224"/>
        <c:scaling>
          <c:orientation val="minMax"/>
          <c:max val="160"/>
          <c:min val="-160"/>
        </c:scaling>
        <c:delete val="0"/>
        <c:axPos val="b"/>
        <c:numFmt formatCode="General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61056"/>
        <c:crosses val="autoZero"/>
        <c:crossBetween val="between"/>
      </c:valAx>
      <c:valAx>
        <c:axId val="97061472"/>
        <c:scaling>
          <c:orientation val="maxMin"/>
          <c:max val="160"/>
          <c:min val="-160"/>
        </c:scaling>
        <c:delete val="0"/>
        <c:axPos val="t"/>
        <c:numFmt formatCode="General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068960"/>
        <c:crosses val="max"/>
        <c:crossBetween val="between"/>
      </c:valAx>
      <c:catAx>
        <c:axId val="9706896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97061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99828822484154"/>
          <c:y val="6.8268872241618928E-2"/>
          <c:w val="0.43535134560834365"/>
          <c:h val="0.81069139648634014"/>
        </c:manualLayout>
      </c:layout>
      <c:pieChart>
        <c:varyColors val="1"/>
        <c:ser>
          <c:idx val="1"/>
          <c:order val="0"/>
          <c:tx>
            <c:v>Total</c:v>
          </c:tx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Homme</c:v>
              </c:pt>
              <c:pt idx="1">
                <c:v>Femme</c:v>
              </c:pt>
            </c:strLit>
          </c:cat>
          <c:val>
            <c:numRef>
              <c:f>'Pyramide age'!$AC$13:$AD$13</c:f>
              <c:numCache>
                <c:formatCode>0.00%</c:formatCode>
                <c:ptCount val="2"/>
                <c:pt idx="0">
                  <c:v>0.91836734693877553</c:v>
                </c:pt>
                <c:pt idx="1">
                  <c:v>4.0816326530612242E-2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4F-4FF4-BBC4-BD41E690CD2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1"/>
                <c:tx>
                  <c:v>Total</c:v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8D4F-4FF4-BBC4-BD41E690CD2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8D4F-4FF4-BBC4-BD41E690CD29}"/>
                    </c:ext>
                  </c:extLst>
                </c:dPt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78%</a:t>
                          </a:r>
                          <a:endParaRPr lang="en-US" dirty="0"/>
                        </a:p>
                      </c:rich>
                    </c:tx>
                    <c:dLblPos val="in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8D4F-4FF4-BBC4-BD41E690CD29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22%</a:t>
                          </a:r>
                          <a:endParaRPr lang="en-US" dirty="0"/>
                        </a:p>
                      </c:rich>
                    </c:tx>
                    <c:dLblPos val="in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8-8D4F-4FF4-BBC4-BD41E690CD2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[2]Feuil2!$B$1:$C$1</c15:sqref>
                        </c15:formulaRef>
                      </c:ext>
                    </c:extLst>
                    <c:strCache>
                      <c:ptCount val="2"/>
                      <c:pt idx="0">
                        <c:v>#REF!</c:v>
                      </c:pt>
                      <c:pt idx="1">
                        <c:v>#REF!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[2]Feuil2!$B$8:$C$8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D4F-4FF4-BBC4-BD41E690CD29}"/>
                  </c:ext>
                </c:extLst>
              </c15:ser>
            </c15:filteredPieSeries>
          </c:ext>
        </c:extLst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b="0">
          <a:latin typeface="+mn-lt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99828822484154"/>
          <c:y val="6.8268872241618928E-2"/>
          <c:w val="0.43535134560834365"/>
          <c:h val="0.81069139648634014"/>
        </c:manualLayout>
      </c:layout>
      <c:pieChart>
        <c:varyColors val="1"/>
        <c:ser>
          <c:idx val="1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CB-432B-ACA0-B04F65D0BD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D1CB-432B-ACA0-B04F65D0BD11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Homme</c:v>
              </c:pt>
              <c:pt idx="1">
                <c:v>Femme</c:v>
              </c:pt>
            </c:strLit>
          </c:cat>
          <c:val>
            <c:numRef>
              <c:f>'Pyramide age'!$AK$15:$AL$15</c:f>
              <c:numCache>
                <c:formatCode>0%</c:formatCode>
                <c:ptCount val="2"/>
                <c:pt idx="0">
                  <c:v>0.63461538461538458</c:v>
                </c:pt>
                <c:pt idx="1">
                  <c:v>2.564102564102564E-2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CB-432B-ACA0-B04F65D0BD11}"/>
            </c:ext>
          </c:extLst>
        </c:ser>
        <c:ser>
          <c:idx val="0"/>
          <c:order val="1"/>
          <c:tx>
            <c:v>Total</c:v>
          </c:tx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Homme</c:v>
              </c:pt>
              <c:pt idx="1">
                <c:v>Femme</c:v>
              </c:pt>
            </c:strLit>
          </c:cat>
          <c:val>
            <c:numRef>
              <c:f>'Pyramide age'!$AK$15:$AL$15</c:f>
              <c:numCache>
                <c:formatCode>0%</c:formatCode>
                <c:ptCount val="2"/>
                <c:pt idx="0">
                  <c:v>0.63461538461538458</c:v>
                </c:pt>
                <c:pt idx="1">
                  <c:v>2.564102564102564E-2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CB-432B-ACA0-B04F65D0BD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334135878639798"/>
          <c:y val="0.70686883553736835"/>
          <c:w val="0.19620348565935583"/>
          <c:h val="0.23176459964821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b="0">
          <a:latin typeface="+mn-lt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99828822484154"/>
          <c:y val="6.8268872241618928E-2"/>
          <c:w val="0.43535134560834365"/>
          <c:h val="0.81069139648634014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02-4BB9-8382-AC7E82E446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02-4BB9-8382-AC7E82E4467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79%</a:t>
                    </a:r>
                    <a:endParaRPr lang="en-US" dirty="0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402-4BB9-8382-AC7E82E446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21%</a:t>
                    </a:r>
                    <a:endParaRPr lang="en-US" dirty="0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402-4BB9-8382-AC7E82E44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[2]Feuil2!$B$1:$C$1</c:f>
              <c:strCache>
                <c:ptCount val="2"/>
                <c:pt idx="0">
                  <c:v>#REF!</c:v>
                </c:pt>
                <c:pt idx="1">
                  <c:v>#REF!</c:v>
                </c:pt>
              </c:strCache>
            </c:strRef>
          </c:cat>
          <c:val>
            <c:numRef>
              <c:f>'Pyramide age'!$AW$5:$AX$5</c:f>
              <c:numCache>
                <c:formatCode>0.00%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02-4BB9-8382-AC7E82E4467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latin typeface="+mn-lt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E$9" lockText="1" noThreeD="1"/>
</file>

<file path=xl/ctrlProps/ctrlProp2.xml><?xml version="1.0" encoding="utf-8"?>
<formControlPr xmlns="http://schemas.microsoft.com/office/spreadsheetml/2009/9/main" objectType="CheckBox" checked="Checked" fmlaLink="$E$25" lockText="1" noThreeD="1"/>
</file>

<file path=xl/ctrlProps/ctrlProp3.xml><?xml version="1.0" encoding="utf-8"?>
<formControlPr xmlns="http://schemas.microsoft.com/office/spreadsheetml/2009/9/main" objectType="CheckBox" fmlaLink="$E$5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11904</xdr:colOff>
      <xdr:row>6</xdr:row>
      <xdr:rowOff>59526</xdr:rowOff>
    </xdr:from>
    <xdr:to>
      <xdr:col>4</xdr:col>
      <xdr:colOff>455366</xdr:colOff>
      <xdr:row>7</xdr:row>
      <xdr:rowOff>180522</xdr:rowOff>
    </xdr:to>
    <xdr:sp macro="" textlink="">
      <xdr:nvSpPr>
        <xdr:cNvPr id="5" name="ZoneTexte 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2435" y="916776"/>
          <a:ext cx="1967462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400" b="1" u="sng"/>
            <a:t>Pyramide D'âge Nador</a:t>
          </a:r>
        </a:p>
      </xdr:txBody>
    </xdr:sp>
    <xdr:clientData/>
  </xdr:twoCellAnchor>
  <xdr:twoCellAnchor>
    <xdr:from>
      <xdr:col>7</xdr:col>
      <xdr:colOff>576659</xdr:colOff>
      <xdr:row>6</xdr:row>
      <xdr:rowOff>79375</xdr:rowOff>
    </xdr:from>
    <xdr:to>
      <xdr:col>11</xdr:col>
      <xdr:colOff>99218</xdr:colOff>
      <xdr:row>8</xdr:row>
      <xdr:rowOff>13839</xdr:rowOff>
    </xdr:to>
    <xdr:sp macro="" textlink="">
      <xdr:nvSpPr>
        <xdr:cNvPr id="6" name="ZoneTexte 2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051425" y="922734"/>
          <a:ext cx="246935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400" b="1" u="sng"/>
            <a:t>Pyramide d’ancienneté</a:t>
          </a:r>
          <a:endParaRPr lang="fr-MA" sz="1400" b="1" u="sng"/>
        </a:p>
      </xdr:txBody>
    </xdr:sp>
    <xdr:clientData/>
  </xdr:twoCellAnchor>
  <xdr:twoCellAnchor>
    <xdr:from>
      <xdr:col>2</xdr:col>
      <xdr:colOff>77392</xdr:colOff>
      <xdr:row>24</xdr:row>
      <xdr:rowOff>91282</xdr:rowOff>
    </xdr:from>
    <xdr:to>
      <xdr:col>6</xdr:col>
      <xdr:colOff>109141</xdr:colOff>
      <xdr:row>26</xdr:row>
      <xdr:rowOff>25747</xdr:rowOff>
    </xdr:to>
    <xdr:sp macro="" textlink="">
      <xdr:nvSpPr>
        <xdr:cNvPr id="8" name="ZoneTexte 2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13955" y="4327923"/>
          <a:ext cx="30876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 b="1" u="sng"/>
            <a:t>Répartition des effectifs par genre</a:t>
          </a:r>
          <a:endParaRPr lang="fr-MA" sz="1400" b="1" u="sng"/>
        </a:p>
      </xdr:txBody>
    </xdr:sp>
    <xdr:clientData/>
  </xdr:twoCellAnchor>
  <xdr:twoCellAnchor>
    <xdr:from>
      <xdr:col>8</xdr:col>
      <xdr:colOff>19844</xdr:colOff>
      <xdr:row>31</xdr:row>
      <xdr:rowOff>29764</xdr:rowOff>
    </xdr:from>
    <xdr:to>
      <xdr:col>13</xdr:col>
      <xdr:colOff>496094</xdr:colOff>
      <xdr:row>38</xdr:row>
      <xdr:rowOff>61912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466327</xdr:colOff>
      <xdr:row>24</xdr:row>
      <xdr:rowOff>59532</xdr:rowOff>
    </xdr:from>
    <xdr:to>
      <xdr:col>10</xdr:col>
      <xdr:colOff>309671</xdr:colOff>
      <xdr:row>25</xdr:row>
      <xdr:rowOff>151221</xdr:rowOff>
    </xdr:to>
    <xdr:sp macro="" textlink="">
      <xdr:nvSpPr>
        <xdr:cNvPr id="14" name="ZoneText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941093" y="4177110"/>
          <a:ext cx="1956703" cy="280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200" b="1" u="sng"/>
            <a:t>FTE Own 08/2025</a:t>
          </a:r>
          <a:endParaRPr lang="fr-MA" sz="1200" b="1" u="sng"/>
        </a:p>
      </xdr:txBody>
    </xdr:sp>
    <xdr:clientData/>
  </xdr:twoCellAnchor>
  <xdr:twoCellAnchor>
    <xdr:from>
      <xdr:col>7</xdr:col>
      <xdr:colOff>406797</xdr:colOff>
      <xdr:row>7</xdr:row>
      <xdr:rowOff>178593</xdr:rowOff>
    </xdr:from>
    <xdr:to>
      <xdr:col>13</xdr:col>
      <xdr:colOff>515938</xdr:colOff>
      <xdr:row>22</xdr:row>
      <xdr:rowOff>119063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9921</xdr:colOff>
      <xdr:row>7</xdr:row>
      <xdr:rowOff>178593</xdr:rowOff>
    </xdr:from>
    <xdr:to>
      <xdr:col>7</xdr:col>
      <xdr:colOff>404812</xdr:colOff>
      <xdr:row>22</xdr:row>
      <xdr:rowOff>119062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10584</xdr:colOff>
      <xdr:row>25</xdr:row>
      <xdr:rowOff>190499</xdr:rowOff>
    </xdr:from>
    <xdr:to>
      <xdr:col>7</xdr:col>
      <xdr:colOff>539750</xdr:colOff>
      <xdr:row>38</xdr:row>
      <xdr:rowOff>84665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0.06973</cdr:x>
      <cdr:y>0.17311</cdr:y>
    </cdr:to>
    <cdr:sp macro="" textlink="">
      <cdr:nvSpPr>
        <cdr:cNvPr id="2" name="ZoneTexte 28">
          <a:extLst xmlns:a="http://schemas.openxmlformats.org/drawingml/2006/main">
            <a:ext uri="{FF2B5EF4-FFF2-40B4-BE49-F238E27FC236}">
              <a16:creationId xmlns:a16="http://schemas.microsoft.com/office/drawing/2014/main" id="{3B6929E9-2356-4281-9045-31BFE4E98D01}"/>
            </a:ext>
          </a:extLst>
        </cdr:cNvPr>
        <cdr:cNvSpPr txBox="1"/>
      </cdr:nvSpPr>
      <cdr:spPr>
        <a:xfrm xmlns:a="http://schemas.openxmlformats.org/drawingml/2006/main">
          <a:off x="0" y="0"/>
          <a:ext cx="184731" cy="30777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 sz="1400" b="1" u="sng" dirty="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16</xdr:row>
      <xdr:rowOff>166686</xdr:rowOff>
    </xdr:from>
    <xdr:to>
      <xdr:col>6</xdr:col>
      <xdr:colOff>114300</xdr:colOff>
      <xdr:row>29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676275</xdr:colOff>
      <xdr:row>16</xdr:row>
      <xdr:rowOff>185737</xdr:rowOff>
    </xdr:from>
    <xdr:to>
      <xdr:col>12</xdr:col>
      <xdr:colOff>676275</xdr:colOff>
      <xdr:row>31</xdr:row>
      <xdr:rowOff>71437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17</xdr:row>
      <xdr:rowOff>4762</xdr:rowOff>
    </xdr:from>
    <xdr:to>
      <xdr:col>19</xdr:col>
      <xdr:colOff>95250</xdr:colOff>
      <xdr:row>31</xdr:row>
      <xdr:rowOff>80962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614362</xdr:colOff>
      <xdr:row>17</xdr:row>
      <xdr:rowOff>52387</xdr:rowOff>
    </xdr:from>
    <xdr:to>
      <xdr:col>25</xdr:col>
      <xdr:colOff>614362</xdr:colOff>
      <xdr:row>31</xdr:row>
      <xdr:rowOff>128587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19050</xdr:colOff>
      <xdr:row>14</xdr:row>
      <xdr:rowOff>123825</xdr:rowOff>
    </xdr:from>
    <xdr:to>
      <xdr:col>33</xdr:col>
      <xdr:colOff>152400</xdr:colOff>
      <xdr:row>29</xdr:row>
      <xdr:rowOff>9525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304800</xdr:colOff>
      <xdr:row>15</xdr:row>
      <xdr:rowOff>28575</xdr:rowOff>
    </xdr:from>
    <xdr:to>
      <xdr:col>41</xdr:col>
      <xdr:colOff>304800</xdr:colOff>
      <xdr:row>29</xdr:row>
      <xdr:rowOff>104775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840105</xdr:colOff>
      <xdr:row>32</xdr:row>
      <xdr:rowOff>15240</xdr:rowOff>
    </xdr:from>
    <xdr:to>
      <xdr:col>31</xdr:col>
      <xdr:colOff>574870</xdr:colOff>
      <xdr:row>41</xdr:row>
      <xdr:rowOff>78707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434340</xdr:colOff>
      <xdr:row>30</xdr:row>
      <xdr:rowOff>40005</xdr:rowOff>
    </xdr:from>
    <xdr:to>
      <xdr:col>37</xdr:col>
      <xdr:colOff>99646</xdr:colOff>
      <xdr:row>40</xdr:row>
      <xdr:rowOff>60616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1133475</xdr:colOff>
      <xdr:row>8</xdr:row>
      <xdr:rowOff>28575</xdr:rowOff>
    </xdr:from>
    <xdr:to>
      <xdr:col>49</xdr:col>
      <xdr:colOff>503506</xdr:colOff>
      <xdr:row>18</xdr:row>
      <xdr:rowOff>56806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0.06973</cdr:x>
      <cdr:y>0.17311</cdr:y>
    </cdr:to>
    <cdr:sp macro="" textlink="">
      <cdr:nvSpPr>
        <cdr:cNvPr id="2" name="ZoneTexte 28">
          <a:extLst xmlns:a="http://schemas.openxmlformats.org/drawingml/2006/main">
            <a:ext uri="{FF2B5EF4-FFF2-40B4-BE49-F238E27FC236}">
              <a16:creationId xmlns:a16="http://schemas.microsoft.com/office/drawing/2014/main" id="{3B6929E9-2356-4281-9045-31BFE4E98D01}"/>
            </a:ext>
          </a:extLst>
        </cdr:cNvPr>
        <cdr:cNvSpPr txBox="1"/>
      </cdr:nvSpPr>
      <cdr:spPr>
        <a:xfrm xmlns:a="http://schemas.openxmlformats.org/drawingml/2006/main">
          <a:off x="0" y="0"/>
          <a:ext cx="184731" cy="30777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 sz="1400" b="1" u="sng" dirty="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7</xdr:row>
          <xdr:rowOff>133350</xdr:rowOff>
        </xdr:from>
        <xdr:to>
          <xdr:col>2</xdr:col>
          <xdr:colOff>1171575</xdr:colOff>
          <xdr:row>9</xdr:row>
          <xdr:rowOff>57150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6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M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Utiliser des tranches d'âge pour la pyramide des âges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23</xdr:row>
          <xdr:rowOff>142875</xdr:rowOff>
        </xdr:from>
        <xdr:to>
          <xdr:col>3</xdr:col>
          <xdr:colOff>714375</xdr:colOff>
          <xdr:row>25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6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M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Utiliser des tranches d'ancienneté pour la pyramide des anciennetés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4</xdr:row>
          <xdr:rowOff>57150</xdr:rowOff>
        </xdr:from>
        <xdr:to>
          <xdr:col>3</xdr:col>
          <xdr:colOff>47625</xdr:colOff>
          <xdr:row>5</xdr:row>
          <xdr:rowOff>76200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6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M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Utiliser des ETP plutôt que des effectifs physiques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733425</xdr:colOff>
      <xdr:row>1</xdr:row>
      <xdr:rowOff>0</xdr:rowOff>
    </xdr:from>
    <xdr:to>
      <xdr:col>10</xdr:col>
      <xdr:colOff>304800</xdr:colOff>
      <xdr:row>4</xdr:row>
      <xdr:rowOff>104775</xdr:rowOff>
    </xdr:to>
    <xdr:sp macro="[0]!MàJTCD" textlink="">
      <xdr:nvSpPr>
        <xdr:cNvPr id="5" name="Rectangle à coins arrondis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43425" y="161925"/>
          <a:ext cx="3381375" cy="590550"/>
        </a:xfrm>
        <a:prstGeom prst="roundRect">
          <a:avLst>
            <a:gd name="adj" fmla="val 25000"/>
          </a:avLst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Mettre à jour les tableaux de bord</a:t>
          </a:r>
        </a:p>
      </xdr:txBody>
    </xdr:sp>
    <xdr:clientData/>
  </xdr:twoCellAnchor>
  <xdr:twoCellAnchor>
    <xdr:from>
      <xdr:col>4</xdr:col>
      <xdr:colOff>142875</xdr:colOff>
      <xdr:row>7</xdr:row>
      <xdr:rowOff>1</xdr:rowOff>
    </xdr:from>
    <xdr:to>
      <xdr:col>8</xdr:col>
      <xdr:colOff>533400</xdr:colOff>
      <xdr:row>13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3619500" y="1533526"/>
          <a:ext cx="3571875" cy="990599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i="1"/>
            <a:t>En</a:t>
          </a:r>
          <a:r>
            <a:rPr lang="fr-FR" sz="1100" i="1" baseline="0"/>
            <a:t> décochant cette case, la pyramide des âges se fera à partir des âges directement. Veille à ne pas entrer d'âge avec des décimales afin que la pyramide puisse être lisible.</a:t>
          </a:r>
        </a:p>
        <a:p>
          <a:endParaRPr lang="fr-FR" sz="1100" i="1" baseline="0"/>
        </a:p>
        <a:p>
          <a:r>
            <a:rPr lang="fr-FR" sz="1100" i="1" baseline="0"/>
            <a:t>L'utilisation de tranches est recommandée.</a:t>
          </a:r>
        </a:p>
      </xdr:txBody>
    </xdr:sp>
    <xdr:clientData/>
  </xdr:twoCellAnchor>
  <xdr:twoCellAnchor>
    <xdr:from>
      <xdr:col>2</xdr:col>
      <xdr:colOff>1171575</xdr:colOff>
      <xdr:row>8</xdr:row>
      <xdr:rowOff>95250</xdr:rowOff>
    </xdr:from>
    <xdr:to>
      <xdr:col>4</xdr:col>
      <xdr:colOff>142875</xdr:colOff>
      <xdr:row>10</xdr:row>
      <xdr:rowOff>9526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>
          <a:stCxn id="6" idx="1"/>
        </xdr:cNvCxnSpPr>
      </xdr:nvCxnSpPr>
      <xdr:spPr>
        <a:xfrm flipH="1" flipV="1">
          <a:off x="2695575" y="1790700"/>
          <a:ext cx="923925" cy="23812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abiad/Desktop/Travail/Reporting%20RH/TDB/0621/Tableau%20de%20bord%20RH%20V00.xlsm" TargetMode="External"/><Relationship Id="rId1" Type="http://schemas.openxmlformats.org/officeDocument/2006/relationships/externalLinkPath" Target="/Users/labiad/Desktop/Travail/Reporting%20RH/TDB/0621/Tableau%20de%20bord%20RH%20V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nn&#233;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nnées"/>
      <sheetName val="Paramètres"/>
      <sheetName val="TDB - Effectifs"/>
      <sheetName val="TCD"/>
    </sheetNames>
    <sheetDataSet>
      <sheetData sheetId="0">
        <row r="1">
          <cell r="AB1" t="str">
            <v>Autre critère 1</v>
          </cell>
          <cell r="AC1" t="str">
            <v>Autre critère 2</v>
          </cell>
          <cell r="AD1" t="str">
            <v>Autre critère 3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7F59-26F0-4E64-881B-CDC2E5FA4275}">
  <dimension ref="B1:O40"/>
  <sheetViews>
    <sheetView showGridLines="0" topLeftCell="A13" zoomScaleNormal="100" workbookViewId="0">
      <selection activeCell="P13" sqref="P13"/>
    </sheetView>
  </sheetViews>
  <sheetFormatPr baseColWidth="10" defaultColWidth="11.42578125" defaultRowHeight="15" x14ac:dyDescent="0.25"/>
  <cols>
    <col min="1" max="1" width="3.85546875" customWidth="1"/>
    <col min="2" max="2" width="2.7109375" customWidth="1"/>
    <col min="7" max="7" width="14.7109375" customWidth="1"/>
    <col min="8" max="8" width="8.7109375" customWidth="1"/>
    <col min="11" max="11" width="12.5703125" bestFit="1" customWidth="1"/>
    <col min="12" max="12" width="12.5703125" customWidth="1"/>
    <col min="14" max="14" width="8" customWidth="1"/>
    <col min="15" max="15" width="3.5703125" customWidth="1"/>
  </cols>
  <sheetData>
    <row r="1" spans="2:15" x14ac:dyDescent="0.25">
      <c r="B1" s="100"/>
      <c r="C1" s="102" t="s">
        <v>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0"/>
    </row>
    <row r="2" spans="2:15" ht="15.75" thickBot="1" x14ac:dyDescent="0.3">
      <c r="B2" s="101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1"/>
    </row>
    <row r="3" spans="2:15" s="4" customFormat="1" x14ac:dyDescent="0.25">
      <c r="B3" s="91"/>
      <c r="C3" s="104" t="s">
        <v>1</v>
      </c>
      <c r="D3" s="104"/>
      <c r="E3" s="88" t="s">
        <v>2</v>
      </c>
      <c r="F3" s="88" t="s">
        <v>3</v>
      </c>
      <c r="G3" s="104" t="s">
        <v>4</v>
      </c>
      <c r="H3" s="104"/>
      <c r="I3" s="104" t="s">
        <v>5</v>
      </c>
      <c r="J3" s="104"/>
      <c r="K3" s="104" t="s">
        <v>6</v>
      </c>
      <c r="L3" s="104"/>
      <c r="M3" s="104" t="s">
        <v>7</v>
      </c>
      <c r="N3" s="104"/>
      <c r="O3" s="114"/>
    </row>
    <row r="4" spans="2:15" s="4" customFormat="1" x14ac:dyDescent="0.25">
      <c r="B4" s="107"/>
      <c r="C4" s="105">
        <f>'Pyramide age'!AR16</f>
        <v>0.15769230769230769</v>
      </c>
      <c r="D4" s="106"/>
      <c r="E4" s="89">
        <f>COUNTIF(EFFECTIF!O:O,E3)</f>
        <v>139</v>
      </c>
      <c r="F4" s="89">
        <f>COUNTIF(EFFECTIF!O:O,F3)</f>
        <v>7</v>
      </c>
      <c r="G4" s="112">
        <f>'Pyramide age'!AR20</f>
        <v>6.3291139240506333E-2</v>
      </c>
      <c r="H4" s="112"/>
      <c r="I4" s="113">
        <f ca="1">AVERAGE(EFFECTIF!S2:S159)</f>
        <v>13.736286919831223</v>
      </c>
      <c r="J4" s="113"/>
      <c r="K4" s="121">
        <f>mouvement!F33</f>
        <v>29</v>
      </c>
      <c r="L4" s="121"/>
      <c r="M4" s="121">
        <f>mouvement!F49</f>
        <v>12</v>
      </c>
      <c r="N4" s="121"/>
      <c r="O4" s="115"/>
    </row>
    <row r="5" spans="2:15" ht="0.75" customHeight="1" x14ac:dyDescent="0.25">
      <c r="B5" s="107"/>
      <c r="C5" s="71"/>
      <c r="D5" s="71"/>
      <c r="E5" s="2"/>
      <c r="F5" s="2"/>
      <c r="G5" s="72"/>
      <c r="H5" s="72"/>
      <c r="I5" s="73"/>
      <c r="J5" s="73"/>
      <c r="K5" s="2"/>
      <c r="L5" s="2"/>
      <c r="M5" s="2"/>
      <c r="N5" s="2"/>
      <c r="O5" s="115"/>
    </row>
    <row r="6" spans="2:15" ht="5.25" customHeight="1" x14ac:dyDescent="0.25">
      <c r="B6" s="107"/>
      <c r="C6" s="67"/>
      <c r="D6" s="67"/>
      <c r="E6" s="68"/>
      <c r="F6" s="68"/>
      <c r="G6" s="69"/>
      <c r="H6" s="69"/>
      <c r="I6" s="70"/>
      <c r="J6" s="70"/>
      <c r="K6" s="68"/>
      <c r="L6" s="68"/>
      <c r="M6" s="68"/>
      <c r="N6" s="68"/>
      <c r="O6" s="115"/>
    </row>
    <row r="7" spans="2:15" x14ac:dyDescent="0.25">
      <c r="B7" s="107"/>
      <c r="O7" s="116"/>
    </row>
    <row r="8" spans="2:15" x14ac:dyDescent="0.25">
      <c r="B8" s="107"/>
      <c r="O8" s="116"/>
    </row>
    <row r="9" spans="2:15" x14ac:dyDescent="0.25">
      <c r="B9" s="107"/>
      <c r="O9" s="116"/>
    </row>
    <row r="10" spans="2:15" x14ac:dyDescent="0.25">
      <c r="B10" s="107"/>
      <c r="O10" s="116"/>
    </row>
    <row r="11" spans="2:15" x14ac:dyDescent="0.25">
      <c r="B11" s="107"/>
      <c r="O11" s="116"/>
    </row>
    <row r="12" spans="2:15" x14ac:dyDescent="0.25">
      <c r="B12" s="107"/>
      <c r="O12" s="116"/>
    </row>
    <row r="13" spans="2:15" x14ac:dyDescent="0.25">
      <c r="B13" s="107"/>
      <c r="O13" s="116"/>
    </row>
    <row r="14" spans="2:15" x14ac:dyDescent="0.25">
      <c r="B14" s="107"/>
      <c r="O14" s="116"/>
    </row>
    <row r="15" spans="2:15" x14ac:dyDescent="0.25">
      <c r="B15" s="107"/>
      <c r="O15" s="116"/>
    </row>
    <row r="16" spans="2:15" x14ac:dyDescent="0.25">
      <c r="B16" s="107"/>
      <c r="O16" s="116"/>
    </row>
    <row r="17" spans="2:15" x14ac:dyDescent="0.25">
      <c r="B17" s="107"/>
      <c r="O17" s="116"/>
    </row>
    <row r="18" spans="2:15" x14ac:dyDescent="0.25">
      <c r="B18" s="107"/>
      <c r="O18" s="116"/>
    </row>
    <row r="19" spans="2:15" x14ac:dyDescent="0.25">
      <c r="B19" s="107"/>
      <c r="O19" s="116"/>
    </row>
    <row r="20" spans="2:15" x14ac:dyDescent="0.25">
      <c r="B20" s="107"/>
      <c r="O20" s="116"/>
    </row>
    <row r="21" spans="2:15" x14ac:dyDescent="0.25">
      <c r="B21" s="107"/>
      <c r="O21" s="116"/>
    </row>
    <row r="22" spans="2:15" x14ac:dyDescent="0.25">
      <c r="B22" s="107"/>
      <c r="O22" s="116"/>
    </row>
    <row r="23" spans="2:15" x14ac:dyDescent="0.25">
      <c r="B23" s="107"/>
      <c r="O23" s="116"/>
    </row>
    <row r="24" spans="2:15" ht="5.25" customHeight="1" x14ac:dyDescent="0.25">
      <c r="B24" s="107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116"/>
    </row>
    <row r="25" spans="2:15" x14ac:dyDescent="0.25">
      <c r="B25" s="107"/>
      <c r="O25" s="116"/>
    </row>
    <row r="26" spans="2:15" x14ac:dyDescent="0.25">
      <c r="B26" s="107"/>
      <c r="O26" s="116"/>
    </row>
    <row r="27" spans="2:15" ht="15.75" x14ac:dyDescent="0.25">
      <c r="B27" s="107"/>
      <c r="I27" s="75"/>
      <c r="J27" s="108" t="s">
        <v>8</v>
      </c>
      <c r="K27" s="108"/>
      <c r="L27" s="109" t="s">
        <v>9</v>
      </c>
      <c r="M27" s="109"/>
      <c r="N27" s="79" t="s">
        <v>10</v>
      </c>
      <c r="O27" s="116"/>
    </row>
    <row r="28" spans="2:15" ht="15.75" x14ac:dyDescent="0.25">
      <c r="B28" s="107"/>
      <c r="I28" s="76" t="s">
        <v>11</v>
      </c>
      <c r="J28" s="110">
        <f>COUNTIFS(EFFECTIF!R:R,1,EFFECTIF!K:K,1,EFFECTIF!E:E,"Maitrise")</f>
        <v>49</v>
      </c>
      <c r="K28" s="110"/>
      <c r="L28" s="110">
        <f>COUNTIFS(EFFECTIF!R:R,2,EFFECTIF!K:K,1,EFFECTIF!E:E,"Maitrise")</f>
        <v>6</v>
      </c>
      <c r="M28" s="110"/>
      <c r="N28" s="80">
        <f>J28+L28</f>
        <v>55</v>
      </c>
      <c r="O28" s="116"/>
    </row>
    <row r="29" spans="2:15" ht="15.75" x14ac:dyDescent="0.25">
      <c r="B29" s="107"/>
      <c r="I29" s="76" t="s">
        <v>12</v>
      </c>
      <c r="J29" s="110">
        <f>COUNTIFS(EFFECTIF!R:R,1,EFFECTIF!K:K,1,EFFECTIF!E:E,"Employé")</f>
        <v>81</v>
      </c>
      <c r="K29" s="110"/>
      <c r="L29" s="110">
        <f>COUNTIFS(EFFECTIF!R:R,2,EFFECTIF!K:K,1,EFFECTIF!E:E,"Employé")</f>
        <v>0</v>
      </c>
      <c r="M29" s="110"/>
      <c r="N29" s="80">
        <f t="shared" ref="N29:N31" si="0">J29+L29</f>
        <v>81</v>
      </c>
      <c r="O29" s="116"/>
    </row>
    <row r="30" spans="2:15" ht="16.5" thickBot="1" x14ac:dyDescent="0.3">
      <c r="B30" s="107"/>
      <c r="I30" s="76" t="s">
        <v>13</v>
      </c>
      <c r="J30" s="111">
        <f>COUNTIFS(EFFECTIF!R:R,1,EFFECTIF!K:K,1,EFFECTIF!E:E,"Cadre")</f>
        <v>10</v>
      </c>
      <c r="K30" s="111"/>
      <c r="L30" s="110">
        <f>COUNTIFS(EFFECTIF!R:R,2,EFFECTIF!K:K,1,EFFECTIF!E:E,"Cadre")</f>
        <v>0</v>
      </c>
      <c r="M30" s="110"/>
      <c r="N30" s="80">
        <f t="shared" si="0"/>
        <v>10</v>
      </c>
      <c r="O30" s="116"/>
    </row>
    <row r="31" spans="2:15" ht="16.5" thickTop="1" x14ac:dyDescent="0.25">
      <c r="B31" s="107"/>
      <c r="I31" s="77" t="s">
        <v>10</v>
      </c>
      <c r="J31" s="122">
        <f>SUM(J28:K30)</f>
        <v>140</v>
      </c>
      <c r="K31" s="122"/>
      <c r="L31" s="122">
        <f>SUM(L28:M30)</f>
        <v>6</v>
      </c>
      <c r="M31" s="122"/>
      <c r="N31" s="81">
        <f t="shared" si="0"/>
        <v>146</v>
      </c>
      <c r="O31" s="116"/>
    </row>
    <row r="32" spans="2:15" x14ac:dyDescent="0.25">
      <c r="B32" s="107"/>
      <c r="O32" s="116"/>
    </row>
    <row r="33" spans="2:15" x14ac:dyDescent="0.25">
      <c r="B33" s="107"/>
      <c r="O33" s="116"/>
    </row>
    <row r="34" spans="2:15" x14ac:dyDescent="0.25">
      <c r="B34" s="107"/>
      <c r="O34" s="116"/>
    </row>
    <row r="35" spans="2:15" x14ac:dyDescent="0.25">
      <c r="B35" s="107"/>
      <c r="O35" s="116"/>
    </row>
    <row r="36" spans="2:15" x14ac:dyDescent="0.25">
      <c r="B36" s="107"/>
      <c r="O36" s="116"/>
    </row>
    <row r="37" spans="2:15" x14ac:dyDescent="0.25">
      <c r="B37" s="107"/>
      <c r="O37" s="116"/>
    </row>
    <row r="38" spans="2:15" x14ac:dyDescent="0.25">
      <c r="B38" s="107"/>
      <c r="O38" s="116"/>
    </row>
    <row r="39" spans="2:15" ht="15.75" thickBot="1" x14ac:dyDescent="0.3">
      <c r="B39" s="107"/>
      <c r="O39" s="116"/>
    </row>
    <row r="40" spans="2:15" ht="15.75" thickBot="1" x14ac:dyDescent="0.3">
      <c r="B40" s="74"/>
      <c r="C40" s="118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20"/>
      <c r="O40" s="117"/>
    </row>
  </sheetData>
  <mergeCells count="26">
    <mergeCell ref="O1:O2"/>
    <mergeCell ref="O3:O40"/>
    <mergeCell ref="C40:N40"/>
    <mergeCell ref="I3:J3"/>
    <mergeCell ref="K3:L3"/>
    <mergeCell ref="M3:N3"/>
    <mergeCell ref="K4:L4"/>
    <mergeCell ref="M4:N4"/>
    <mergeCell ref="L29:M29"/>
    <mergeCell ref="L30:M30"/>
    <mergeCell ref="J31:K31"/>
    <mergeCell ref="L31:M31"/>
    <mergeCell ref="B1:B2"/>
    <mergeCell ref="C1:N2"/>
    <mergeCell ref="C3:D3"/>
    <mergeCell ref="C4:D4"/>
    <mergeCell ref="G3:H3"/>
    <mergeCell ref="B4:B39"/>
    <mergeCell ref="J27:K27"/>
    <mergeCell ref="L27:M27"/>
    <mergeCell ref="J28:K28"/>
    <mergeCell ref="L28:M28"/>
    <mergeCell ref="J29:K29"/>
    <mergeCell ref="J30:K30"/>
    <mergeCell ref="G4:H4"/>
    <mergeCell ref="I4:J4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59"/>
  <sheetViews>
    <sheetView workbookViewId="0">
      <pane xSplit="5" ySplit="1" topLeftCell="F3" activePane="bottomRight" state="frozen"/>
      <selection pane="topRight" activeCell="H1" sqref="H1"/>
      <selection pane="bottomLeft" activeCell="A2" sqref="A2"/>
      <selection pane="bottomRight" activeCell="J11" sqref="J11"/>
    </sheetView>
  </sheetViews>
  <sheetFormatPr baseColWidth="10" defaultColWidth="11.42578125" defaultRowHeight="15" x14ac:dyDescent="0.25"/>
  <cols>
    <col min="1" max="1" width="16.140625" style="2" bestFit="1" customWidth="1"/>
    <col min="2" max="2" width="19.5703125" style="1" bestFit="1" customWidth="1"/>
    <col min="3" max="3" width="19.140625" style="1" bestFit="1" customWidth="1"/>
    <col min="4" max="4" width="18" style="1" bestFit="1" customWidth="1"/>
    <col min="5" max="5" width="12.28515625" style="1" bestFit="1" customWidth="1"/>
    <col min="6" max="6" width="18.42578125" style="2" bestFit="1" customWidth="1"/>
    <col min="7" max="7" width="11" style="1" bestFit="1" customWidth="1"/>
    <col min="8" max="8" width="21.5703125" style="3" bestFit="1" customWidth="1"/>
    <col min="9" max="10" width="21.5703125" style="3" customWidth="1"/>
    <col min="11" max="11" width="13.7109375" style="85" customWidth="1"/>
    <col min="12" max="12" width="21.5703125" style="3" customWidth="1"/>
    <col min="13" max="13" width="10.5703125" style="3" customWidth="1"/>
    <col min="14" max="14" width="9.85546875" style="1" bestFit="1" customWidth="1"/>
    <col min="15" max="15" width="10.28515625" style="1" customWidth="1"/>
    <col min="16" max="16" width="0" style="1" hidden="1" customWidth="1"/>
    <col min="17" max="17" width="13.140625" style="1" bestFit="1" customWidth="1"/>
    <col min="18" max="19" width="11.42578125" style="1"/>
    <col min="20" max="20" width="13.140625" style="1" bestFit="1" customWidth="1"/>
    <col min="21" max="16384" width="11.42578125" style="1"/>
  </cols>
  <sheetData>
    <row r="1" spans="1:20" s="95" customFormat="1" ht="43.9" customHeight="1" x14ac:dyDescent="0.25">
      <c r="A1" s="92" t="s">
        <v>14</v>
      </c>
      <c r="B1" s="92" t="s">
        <v>15</v>
      </c>
      <c r="C1" s="92" t="s">
        <v>16</v>
      </c>
      <c r="D1" s="92" t="s">
        <v>17</v>
      </c>
      <c r="E1" s="92" t="s">
        <v>18</v>
      </c>
      <c r="F1" s="92" t="s">
        <v>19</v>
      </c>
      <c r="G1" s="92" t="s">
        <v>20</v>
      </c>
      <c r="H1" s="92" t="s">
        <v>21</v>
      </c>
      <c r="I1" s="92" t="s">
        <v>22</v>
      </c>
      <c r="J1" s="92" t="s">
        <v>23</v>
      </c>
      <c r="K1" s="93" t="s">
        <v>24</v>
      </c>
      <c r="L1" s="92" t="s">
        <v>25</v>
      </c>
      <c r="M1" s="92" t="s">
        <v>26</v>
      </c>
      <c r="N1" s="92" t="s">
        <v>27</v>
      </c>
      <c r="O1" s="92" t="s">
        <v>28</v>
      </c>
      <c r="P1" s="94" t="s">
        <v>29</v>
      </c>
      <c r="Q1" s="94" t="s">
        <v>30</v>
      </c>
      <c r="R1" s="94" t="s">
        <v>31</v>
      </c>
      <c r="S1" s="95" t="s">
        <v>32</v>
      </c>
      <c r="T1" s="96" t="s">
        <v>33</v>
      </c>
    </row>
    <row r="2" spans="1:20" hidden="1" x14ac:dyDescent="0.25">
      <c r="A2" s="47">
        <v>239</v>
      </c>
      <c r="B2" s="47" t="s">
        <v>34</v>
      </c>
      <c r="C2" s="47" t="s">
        <v>35</v>
      </c>
      <c r="D2" s="47" t="s">
        <v>36</v>
      </c>
      <c r="E2" s="47" t="s">
        <v>37</v>
      </c>
      <c r="F2" s="48">
        <v>31348</v>
      </c>
      <c r="G2" s="49" t="s">
        <v>38</v>
      </c>
      <c r="H2" s="48">
        <v>24093</v>
      </c>
      <c r="I2" s="48">
        <f t="shared" ref="I2:I33" si="0">H2+(365.25*60)</f>
        <v>46008</v>
      </c>
      <c r="J2" s="48"/>
      <c r="K2" s="84">
        <v>1</v>
      </c>
      <c r="L2" s="48"/>
      <c r="M2" s="5">
        <f t="shared" ref="M2:M33" ca="1" si="1">K2*(DATEDIF(H2,TODAY(),"m")/12)</f>
        <v>60.5</v>
      </c>
      <c r="N2" s="43" t="s">
        <v>39</v>
      </c>
      <c r="O2" s="43" t="s">
        <v>2</v>
      </c>
      <c r="P2" s="1" t="s">
        <v>40</v>
      </c>
      <c r="Q2" s="30" t="str">
        <f ca="1">IF(K2=1,IF(Paramètres!$E$9,IF(M2&lt;Paramètres!$B$13,Paramètres!$C$13,IF(M2&lt;Paramètres!$B$14,Paramètres!$C$14,IF(M2&lt;Paramètres!$B$15,Paramètres!$C$15,IF(M2&lt;Paramètres!$B$16,Paramètres!$C$16,IF(M2&lt;Paramètres!$B$17,Paramètres!$C$17,IF(M2&lt;Paramètres!$B$18,Paramètres!$C$18,IF(M2&lt;Paramètres!$B$19,Paramètres!$C$19,IF(M2&lt;Paramètres!$B$20,Paramètres!$C$20,IF(M2&lt;Paramètres!$B$21,Paramètres!$C$21,Paramètres!$C$22))))))))),M2),"")</f>
        <v>De 60 à 64 ans</v>
      </c>
      <c r="R2" s="1">
        <f t="shared" ref="R2:R33" si="2">+IF(N2="Mr",1,2)</f>
        <v>1</v>
      </c>
      <c r="S2" s="31">
        <f ca="1">DATEDIF(F2,TODAY(),"m")/12</f>
        <v>40.666666666666664</v>
      </c>
      <c r="T2" s="1" t="str">
        <f ca="1">IF(K2=1,IF(Paramètres!$E$25,IF(S2&lt;Paramètres!$B$29,Paramètres!$C$29,IF(S2&lt;Paramètres!$B$30,Paramètres!$C$30,IF(S2&lt;Paramètres!$B$31,Paramètres!$C$31,IF(S2&lt;Paramètres!$B$32,Paramètres!$C$32,IF(S2&lt;Paramètres!$B$33,Paramètres!$C$33,IF(S2&lt;Paramètres!$B$34,Paramètres!$C$34,IF(S2&lt;Paramètres!$B$35,Paramètres!$C$35,IF(S2&lt;Paramètres!$B$36,Paramètres!$C$36,IF(S2&lt;Paramètres!$B$37,Paramètres!$C$37,Paramètres!$C$38))))))))),[3]Données!P453),"")</f>
        <v>De 40 à 49 ans</v>
      </c>
    </row>
    <row r="3" spans="1:20" x14ac:dyDescent="0.25">
      <c r="A3" s="47">
        <v>302</v>
      </c>
      <c r="B3" s="47" t="s">
        <v>41</v>
      </c>
      <c r="C3" s="47" t="s">
        <v>42</v>
      </c>
      <c r="D3" s="47" t="s">
        <v>36</v>
      </c>
      <c r="E3" s="47" t="s">
        <v>37</v>
      </c>
      <c r="F3" s="48">
        <v>32470</v>
      </c>
      <c r="G3" s="49" t="s">
        <v>43</v>
      </c>
      <c r="H3" s="48">
        <v>23923</v>
      </c>
      <c r="I3" s="48">
        <f t="shared" si="0"/>
        <v>45838</v>
      </c>
      <c r="J3" s="48">
        <v>45838</v>
      </c>
      <c r="K3" s="84">
        <v>0</v>
      </c>
      <c r="L3" s="48" t="s">
        <v>44</v>
      </c>
      <c r="M3" s="5">
        <f t="shared" ca="1" si="1"/>
        <v>0</v>
      </c>
      <c r="N3" s="43" t="s">
        <v>39</v>
      </c>
      <c r="O3" s="43"/>
      <c r="P3" s="1" t="s">
        <v>40</v>
      </c>
      <c r="Q3" s="30" t="str">
        <f>IF(K3=1,IF(Paramètres!$E$9,IF(M3&lt;Paramètres!$B$13,Paramètres!$C$13,IF(M3&lt;Paramètres!$B$14,Paramètres!$C$14,IF(M3&lt;Paramètres!$B$15,Paramètres!$C$15,IF(M3&lt;Paramètres!$B$16,Paramètres!$C$16,IF(M3&lt;Paramètres!$B$17,Paramètres!$C$17,IF(M3&lt;Paramètres!$B$18,Paramètres!$C$18,IF(M3&lt;Paramètres!$B$19,Paramètres!$C$19,IF(M3&lt;Paramètres!$B$20,Paramètres!$C$20,IF(M3&lt;Paramètres!$B$21,Paramètres!$C$21,Paramètres!$C$22))))))))),M3),"")</f>
        <v/>
      </c>
      <c r="R3" s="1">
        <f t="shared" si="2"/>
        <v>1</v>
      </c>
      <c r="S3" s="31">
        <f ca="1">K3*(DATEDIF(F3,TODAY(),"m")/12)</f>
        <v>0</v>
      </c>
      <c r="T3" s="1" t="str">
        <f>IF(K3=1,IF(Paramètres!$E$25,IF(S3&lt;Paramètres!$B$29,Paramètres!$C$29,IF(S3&lt;Paramètres!$B$30,Paramètres!$C$30,IF(S3&lt;Paramètres!$B$31,Paramètres!$C$31,IF(S3&lt;Paramètres!$B$32,Paramètres!$C$32,IF(S3&lt;Paramètres!$B$33,Paramètres!$C$33,IF(S3&lt;Paramètres!$B$34,Paramètres!$C$34,IF(S3&lt;Paramètres!$B$35,Paramètres!$C$35,IF(S3&lt;Paramètres!$B$36,Paramètres!$C$36,IF(S3&lt;Paramètres!$B$37,Paramètres!$C$37,Paramètres!$C$38))))))))),[3]Données!P600),"")</f>
        <v/>
      </c>
    </row>
    <row r="4" spans="1:20" hidden="1" x14ac:dyDescent="0.25">
      <c r="A4" s="44">
        <v>309</v>
      </c>
      <c r="B4" s="44" t="s">
        <v>45</v>
      </c>
      <c r="C4" s="44" t="s">
        <v>46</v>
      </c>
      <c r="D4" s="44" t="s">
        <v>36</v>
      </c>
      <c r="E4" s="47" t="s">
        <v>37</v>
      </c>
      <c r="F4" s="45">
        <v>32539</v>
      </c>
      <c r="G4" s="46" t="s">
        <v>47</v>
      </c>
      <c r="H4" s="45">
        <v>25653</v>
      </c>
      <c r="I4" s="48">
        <f t="shared" si="0"/>
        <v>47568</v>
      </c>
      <c r="J4" s="48"/>
      <c r="K4" s="84">
        <v>1</v>
      </c>
      <c r="L4" s="48"/>
      <c r="M4" s="5">
        <f t="shared" ca="1" si="1"/>
        <v>56.25</v>
      </c>
      <c r="N4" s="42" t="s">
        <v>39</v>
      </c>
      <c r="O4" s="43" t="s">
        <v>2</v>
      </c>
      <c r="P4" s="1" t="s">
        <v>40</v>
      </c>
      <c r="Q4" s="30" t="str">
        <f ca="1">IF(K4=1,IF(Paramètres!$E$9,IF(M4&lt;Paramètres!$B$13,Paramètres!$C$13,IF(M4&lt;Paramètres!$B$14,Paramètres!$C$14,IF(M4&lt;Paramètres!$B$15,Paramètres!$C$15,IF(M4&lt;Paramètres!$B$16,Paramètres!$C$16,IF(M4&lt;Paramètres!$B$17,Paramètres!$C$17,IF(M4&lt;Paramètres!$B$18,Paramètres!$C$18,IF(M4&lt;Paramètres!$B$19,Paramètres!$C$19,IF(M4&lt;Paramètres!$B$20,Paramètres!$C$20,IF(M4&lt;Paramètres!$B$21,Paramètres!$C$21,Paramètres!$C$22))))))))),M4),"")</f>
        <v>De 55 à 59 ans</v>
      </c>
      <c r="R4" s="1">
        <f t="shared" si="2"/>
        <v>1</v>
      </c>
      <c r="S4" s="31">
        <f ca="1">DATEDIF(F4,TODAY(),"m")/12</f>
        <v>37.416666666666664</v>
      </c>
      <c r="T4" s="1" t="str">
        <f ca="1">IF(K4=1,IF(Paramètres!$E$25,IF(S4&lt;Paramètres!$B$29,Paramètres!$C$29,IF(S4&lt;Paramètres!$B$30,Paramètres!$C$30,IF(S4&lt;Paramètres!$B$31,Paramètres!$C$31,IF(S4&lt;Paramètres!$B$32,Paramètres!$C$32,IF(S4&lt;Paramètres!$B$33,Paramètres!$C$33,IF(S4&lt;Paramètres!$B$34,Paramètres!$C$34,IF(S4&lt;Paramètres!$B$35,Paramètres!$C$35,IF(S4&lt;Paramètres!$B$36,Paramètres!$C$36,IF(S4&lt;Paramètres!$B$37,Paramètres!$C$37,Paramètres!$C$38))))))))),[3]Données!P454),"")</f>
        <v>De 35 à 39 ans</v>
      </c>
    </row>
    <row r="5" spans="1:20" x14ac:dyDescent="0.25">
      <c r="A5" s="47">
        <v>324</v>
      </c>
      <c r="B5" s="47" t="s">
        <v>48</v>
      </c>
      <c r="C5" s="47" t="s">
        <v>49</v>
      </c>
      <c r="D5" s="47" t="s">
        <v>36</v>
      </c>
      <c r="E5" s="47" t="s">
        <v>37</v>
      </c>
      <c r="F5" s="48">
        <v>32822</v>
      </c>
      <c r="G5" s="49" t="s">
        <v>50</v>
      </c>
      <c r="H5" s="48">
        <v>23892</v>
      </c>
      <c r="I5" s="48">
        <f t="shared" si="0"/>
        <v>45807</v>
      </c>
      <c r="J5" s="48">
        <v>45807</v>
      </c>
      <c r="K5" s="84">
        <v>0</v>
      </c>
      <c r="L5" s="48" t="s">
        <v>44</v>
      </c>
      <c r="M5" s="5">
        <f t="shared" ca="1" si="1"/>
        <v>0</v>
      </c>
      <c r="N5" s="43" t="s">
        <v>39</v>
      </c>
      <c r="O5" s="43"/>
      <c r="P5" s="1" t="s">
        <v>40</v>
      </c>
      <c r="Q5" s="30" t="str">
        <f>IF(K5=1,IF(Paramètres!$E$9,IF(M5&lt;Paramètres!$B$13,Paramètres!$C$13,IF(M5&lt;Paramètres!$B$14,Paramètres!$C$14,IF(M5&lt;Paramètres!$B$15,Paramètres!$C$15,IF(M5&lt;Paramètres!$B$16,Paramètres!$C$16,IF(M5&lt;Paramètres!$B$17,Paramètres!$C$17,IF(M5&lt;Paramètres!$B$18,Paramètres!$C$18,IF(M5&lt;Paramètres!$B$19,Paramètres!$C$19,IF(M5&lt;Paramètres!$B$20,Paramètres!$C$20,IF(M5&lt;Paramètres!$B$21,Paramètres!$C$21,Paramètres!$C$22))))))))),M5),"")</f>
        <v/>
      </c>
      <c r="R5" s="1">
        <f t="shared" si="2"/>
        <v>1</v>
      </c>
      <c r="S5" s="31">
        <f ca="1">K5*(DATEDIF(F5,TODAY(),"m")/12)</f>
        <v>0</v>
      </c>
      <c r="T5" s="1" t="str">
        <f>IF(K5=1,IF(Paramètres!$E$25,IF(S5&lt;Paramètres!$B$29,Paramètres!$C$29,IF(S5&lt;Paramètres!$B$30,Paramètres!$C$30,IF(S5&lt;Paramètres!$B$31,Paramètres!$C$31,IF(S5&lt;Paramètres!$B$32,Paramètres!$C$32,IF(S5&lt;Paramètres!$B$33,Paramètres!$C$33,IF(S5&lt;Paramètres!$B$34,Paramètres!$C$34,IF(S5&lt;Paramètres!$B$35,Paramètres!$C$35,IF(S5&lt;Paramètres!$B$36,Paramètres!$C$36,IF(S5&lt;Paramètres!$B$37,Paramètres!$C$37,Paramètres!$C$38))))))))),[3]Données!P601),"")</f>
        <v/>
      </c>
    </row>
    <row r="6" spans="1:20" hidden="1" x14ac:dyDescent="0.25">
      <c r="A6" s="44">
        <v>325</v>
      </c>
      <c r="B6" s="44" t="s">
        <v>51</v>
      </c>
      <c r="C6" s="44" t="s">
        <v>52</v>
      </c>
      <c r="D6" s="44" t="s">
        <v>36</v>
      </c>
      <c r="E6" s="47" t="s">
        <v>37</v>
      </c>
      <c r="F6" s="45">
        <v>32822</v>
      </c>
      <c r="G6" s="46" t="s">
        <v>53</v>
      </c>
      <c r="H6" s="45">
        <v>24277</v>
      </c>
      <c r="I6" s="48">
        <f t="shared" si="0"/>
        <v>46192</v>
      </c>
      <c r="J6" s="48"/>
      <c r="K6" s="84">
        <v>1</v>
      </c>
      <c r="L6" s="48"/>
      <c r="M6" s="5">
        <f t="shared" ca="1" si="1"/>
        <v>60</v>
      </c>
      <c r="N6" s="42" t="s">
        <v>39</v>
      </c>
      <c r="O6" s="43" t="s">
        <v>2</v>
      </c>
      <c r="P6" s="1" t="s">
        <v>40</v>
      </c>
      <c r="Q6" s="30" t="str">
        <f ca="1">IF(K6=1,IF(Paramètres!$E$9,IF(M6&lt;Paramètres!$B$13,Paramètres!$C$13,IF(M6&lt;Paramètres!$B$14,Paramètres!$C$14,IF(M6&lt;Paramètres!$B$15,Paramètres!$C$15,IF(M6&lt;Paramètres!$B$16,Paramètres!$C$16,IF(M6&lt;Paramètres!$B$17,Paramètres!$C$17,IF(M6&lt;Paramètres!$B$18,Paramètres!$C$18,IF(M6&lt;Paramètres!$B$19,Paramètres!$C$19,IF(M6&lt;Paramètres!$B$20,Paramètres!$C$20,IF(M6&lt;Paramètres!$B$21,Paramètres!$C$21,Paramètres!$C$22))))))))),M6),"")</f>
        <v>De 60 à 64 ans</v>
      </c>
      <c r="R6" s="1">
        <f t="shared" si="2"/>
        <v>1</v>
      </c>
      <c r="S6" s="31">
        <f ca="1">DATEDIF(F6,TODAY(),"m")/12</f>
        <v>36.583333333333336</v>
      </c>
      <c r="T6" s="1" t="str">
        <f ca="1">IF(K6=1,IF(Paramètres!$E$25,IF(S6&lt;Paramètres!$B$29,Paramètres!$C$29,IF(S6&lt;Paramètres!$B$30,Paramètres!$C$30,IF(S6&lt;Paramètres!$B$31,Paramètres!$C$31,IF(S6&lt;Paramètres!$B$32,Paramètres!$C$32,IF(S6&lt;Paramètres!$B$33,Paramètres!$C$33,IF(S6&lt;Paramètres!$B$34,Paramètres!$C$34,IF(S6&lt;Paramètres!$B$35,Paramètres!$C$35,IF(S6&lt;Paramètres!$B$36,Paramètres!$C$36,IF(S6&lt;Paramètres!$B$37,Paramètres!$C$37,Paramètres!$C$38))))))))),[3]Données!P455),"")</f>
        <v>De 35 à 39 ans</v>
      </c>
    </row>
    <row r="7" spans="1:20" hidden="1" x14ac:dyDescent="0.25">
      <c r="A7" s="44">
        <v>332</v>
      </c>
      <c r="B7" s="44" t="s">
        <v>54</v>
      </c>
      <c r="C7" s="44" t="s">
        <v>42</v>
      </c>
      <c r="D7" s="44" t="s">
        <v>36</v>
      </c>
      <c r="E7" s="47" t="s">
        <v>55</v>
      </c>
      <c r="F7" s="45">
        <v>32898</v>
      </c>
      <c r="G7" s="46" t="s">
        <v>56</v>
      </c>
      <c r="H7" s="45">
        <v>26218</v>
      </c>
      <c r="I7" s="48">
        <f t="shared" si="0"/>
        <v>48133</v>
      </c>
      <c r="J7" s="48"/>
      <c r="K7" s="84">
        <v>1</v>
      </c>
      <c r="L7" s="48"/>
      <c r="M7" s="5">
        <f t="shared" ca="1" si="1"/>
        <v>54.666666666666664</v>
      </c>
      <c r="N7" s="42" t="s">
        <v>39</v>
      </c>
      <c r="O7" s="43" t="s">
        <v>2</v>
      </c>
      <c r="P7" s="1" t="s">
        <v>40</v>
      </c>
      <c r="Q7" s="30" t="str">
        <f ca="1">IF(K7=1,IF(Paramètres!$E$9,IF(M7&lt;Paramètres!$B$13,Paramètres!$C$13,IF(M7&lt;Paramètres!$B$14,Paramètres!$C$14,IF(M7&lt;Paramètres!$B$15,Paramètres!$C$15,IF(M7&lt;Paramètres!$B$16,Paramètres!$C$16,IF(M7&lt;Paramètres!$B$17,Paramètres!$C$17,IF(M7&lt;Paramètres!$B$18,Paramètres!$C$18,IF(M7&lt;Paramètres!$B$19,Paramètres!$C$19,IF(M7&lt;Paramètres!$B$20,Paramètres!$C$20,IF(M7&lt;Paramètres!$B$21,Paramètres!$C$21,Paramètres!$C$22))))))))),M7),"")</f>
        <v>De 50 à 54 ans</v>
      </c>
      <c r="R7" s="1">
        <f t="shared" si="2"/>
        <v>1</v>
      </c>
      <c r="S7" s="31">
        <f t="shared" ref="S7:S38" ca="1" si="3">K7*(DATEDIF(F7,TODAY(),"m")/12)</f>
        <v>36.416666666666664</v>
      </c>
      <c r="T7" s="1" t="str">
        <f ca="1">IF(K7=1,IF(Paramètres!$E$25,IF(S7&lt;Paramètres!$B$29,Paramètres!$C$29,IF(S7&lt;Paramètres!$B$30,Paramètres!$C$30,IF(S7&lt;Paramètres!$B$31,Paramètres!$C$31,IF(S7&lt;Paramètres!$B$32,Paramètres!$C$32,IF(S7&lt;Paramètres!$B$33,Paramètres!$C$33,IF(S7&lt;Paramètres!$B$34,Paramètres!$C$34,IF(S7&lt;Paramètres!$B$35,Paramètres!$C$35,IF(S7&lt;Paramètres!$B$36,Paramètres!$C$36,IF(S7&lt;Paramètres!$B$37,Paramètres!$C$37,Paramètres!$C$38))))))))),[3]Données!P456),"")</f>
        <v>De 35 à 39 ans</v>
      </c>
    </row>
    <row r="8" spans="1:20" hidden="1" x14ac:dyDescent="0.25">
      <c r="A8" s="47">
        <v>333</v>
      </c>
      <c r="B8" s="47" t="s">
        <v>57</v>
      </c>
      <c r="C8" s="47" t="s">
        <v>58</v>
      </c>
      <c r="D8" s="47" t="s">
        <v>36</v>
      </c>
      <c r="E8" s="47" t="s">
        <v>55</v>
      </c>
      <c r="F8" s="48">
        <v>32905</v>
      </c>
      <c r="G8" s="49" t="s">
        <v>53</v>
      </c>
      <c r="H8" s="48">
        <v>25435</v>
      </c>
      <c r="I8" s="48">
        <f t="shared" si="0"/>
        <v>47350</v>
      </c>
      <c r="J8" s="48"/>
      <c r="K8" s="84">
        <v>1</v>
      </c>
      <c r="L8" s="48"/>
      <c r="M8" s="5">
        <f t="shared" ca="1" si="1"/>
        <v>56.833333333333336</v>
      </c>
      <c r="N8" s="43" t="s">
        <v>39</v>
      </c>
      <c r="O8" s="43" t="s">
        <v>2</v>
      </c>
      <c r="P8" s="1" t="s">
        <v>40</v>
      </c>
      <c r="Q8" s="30" t="str">
        <f ca="1">IF(K8=1,IF(Paramètres!$E$9,IF(M8&lt;Paramètres!$B$13,Paramètres!$C$13,IF(M8&lt;Paramètres!$B$14,Paramètres!$C$14,IF(M8&lt;Paramètres!$B$15,Paramètres!$C$15,IF(M8&lt;Paramètres!$B$16,Paramètres!$C$16,IF(M8&lt;Paramètres!$B$17,Paramètres!$C$17,IF(M8&lt;Paramètres!$B$18,Paramètres!$C$18,IF(M8&lt;Paramètres!$B$19,Paramètres!$C$19,IF(M8&lt;Paramètres!$B$20,Paramètres!$C$20,IF(M8&lt;Paramètres!$B$21,Paramètres!$C$21,Paramètres!$C$22))))))))),M8),"")</f>
        <v>De 55 à 59 ans</v>
      </c>
      <c r="R8" s="1">
        <f t="shared" si="2"/>
        <v>1</v>
      </c>
      <c r="S8" s="31">
        <f t="shared" ca="1" si="3"/>
        <v>36.416666666666664</v>
      </c>
      <c r="T8" s="1" t="str">
        <f ca="1">IF(K8=1,IF(Paramètres!$E$25,IF(S8&lt;Paramètres!$B$29,Paramètres!$C$29,IF(S8&lt;Paramètres!$B$30,Paramètres!$C$30,IF(S8&lt;Paramètres!$B$31,Paramètres!$C$31,IF(S8&lt;Paramètres!$B$32,Paramètres!$C$32,IF(S8&lt;Paramètres!$B$33,Paramètres!$C$33,IF(S8&lt;Paramètres!$B$34,Paramètres!$C$34,IF(S8&lt;Paramètres!$B$35,Paramètres!$C$35,IF(S8&lt;Paramètres!$B$36,Paramètres!$C$36,IF(S8&lt;Paramètres!$B$37,Paramètres!$C$37,Paramètres!$C$38))))))))),[3]Données!P457),"")</f>
        <v>De 35 à 39 ans</v>
      </c>
    </row>
    <row r="9" spans="1:20" hidden="1" x14ac:dyDescent="0.25">
      <c r="A9" s="47">
        <v>338</v>
      </c>
      <c r="B9" s="47" t="s">
        <v>59</v>
      </c>
      <c r="C9" s="47" t="s">
        <v>52</v>
      </c>
      <c r="D9" s="47" t="s">
        <v>36</v>
      </c>
      <c r="E9" s="47" t="s">
        <v>37</v>
      </c>
      <c r="F9" s="48">
        <v>33001</v>
      </c>
      <c r="G9" s="49" t="s">
        <v>56</v>
      </c>
      <c r="H9" s="48">
        <v>24284</v>
      </c>
      <c r="I9" s="48">
        <f t="shared" si="0"/>
        <v>46199</v>
      </c>
      <c r="J9" s="48"/>
      <c r="K9" s="84">
        <v>1</v>
      </c>
      <c r="L9" s="48"/>
      <c r="M9" s="5">
        <f t="shared" ca="1" si="1"/>
        <v>60</v>
      </c>
      <c r="N9" s="43" t="s">
        <v>39</v>
      </c>
      <c r="O9" s="43" t="s">
        <v>2</v>
      </c>
      <c r="P9" s="1" t="s">
        <v>40</v>
      </c>
      <c r="Q9" s="30" t="str">
        <f ca="1">IF(K9=1,IF(Paramètres!$E$9,IF(M9&lt;Paramètres!$B$13,Paramètres!$C$13,IF(M9&lt;Paramètres!$B$14,Paramètres!$C$14,IF(M9&lt;Paramètres!$B$15,Paramètres!$C$15,IF(M9&lt;Paramètres!$B$16,Paramètres!$C$16,IF(M9&lt;Paramètres!$B$17,Paramètres!$C$17,IF(M9&lt;Paramètres!$B$18,Paramètres!$C$18,IF(M9&lt;Paramètres!$B$19,Paramètres!$C$19,IF(M9&lt;Paramètres!$B$20,Paramètres!$C$20,IF(M9&lt;Paramètres!$B$21,Paramètres!$C$21,Paramètres!$C$22))))))))),M9),"")</f>
        <v>De 60 à 64 ans</v>
      </c>
      <c r="R9" s="1">
        <f t="shared" si="2"/>
        <v>1</v>
      </c>
      <c r="S9" s="31">
        <f t="shared" ca="1" si="3"/>
        <v>36.083333333333336</v>
      </c>
      <c r="T9" s="1" t="str">
        <f ca="1">IF(K9=1,IF(Paramètres!$E$25,IF(S9&lt;Paramètres!$B$29,Paramètres!$C$29,IF(S9&lt;Paramètres!$B$30,Paramètres!$C$30,IF(S9&lt;Paramètres!$B$31,Paramètres!$C$31,IF(S9&lt;Paramètres!$B$32,Paramètres!$C$32,IF(S9&lt;Paramètres!$B$33,Paramètres!$C$33,IF(S9&lt;Paramètres!$B$34,Paramètres!$C$34,IF(S9&lt;Paramètres!$B$35,Paramètres!$C$35,IF(S9&lt;Paramètres!$B$36,Paramètres!$C$36,IF(S9&lt;Paramètres!$B$37,Paramètres!$C$37,Paramètres!$C$38))))))))),[3]Données!P458),"")</f>
        <v>De 35 à 39 ans</v>
      </c>
    </row>
    <row r="10" spans="1:20" hidden="1" x14ac:dyDescent="0.25">
      <c r="A10" s="44">
        <v>341</v>
      </c>
      <c r="B10" s="44" t="s">
        <v>60</v>
      </c>
      <c r="C10" s="44" t="s">
        <v>61</v>
      </c>
      <c r="D10" s="44" t="s">
        <v>36</v>
      </c>
      <c r="E10" s="47" t="s">
        <v>55</v>
      </c>
      <c r="F10" s="45">
        <v>33072</v>
      </c>
      <c r="G10" s="46" t="s">
        <v>53</v>
      </c>
      <c r="H10" s="45">
        <v>24439</v>
      </c>
      <c r="I10" s="48">
        <f t="shared" si="0"/>
        <v>46354</v>
      </c>
      <c r="J10" s="48"/>
      <c r="K10" s="84">
        <v>1</v>
      </c>
      <c r="L10" s="48"/>
      <c r="M10" s="5">
        <f t="shared" ca="1" si="1"/>
        <v>59.583333333333336</v>
      </c>
      <c r="N10" s="42" t="s">
        <v>39</v>
      </c>
      <c r="O10" s="43" t="s">
        <v>2</v>
      </c>
      <c r="P10" s="1" t="s">
        <v>40</v>
      </c>
      <c r="Q10" s="30" t="str">
        <f ca="1">IF(K10=1,IF(Paramètres!$E$9,IF(M10&lt;Paramètres!$B$13,Paramètres!$C$13,IF(M10&lt;Paramètres!$B$14,Paramètres!$C$14,IF(M10&lt;Paramètres!$B$15,Paramètres!$C$15,IF(M10&lt;Paramètres!$B$16,Paramètres!$C$16,IF(M10&lt;Paramètres!$B$17,Paramètres!$C$17,IF(M10&lt;Paramètres!$B$18,Paramètres!$C$18,IF(M10&lt;Paramètres!$B$19,Paramètres!$C$19,IF(M10&lt;Paramètres!$B$20,Paramètres!$C$20,IF(M10&lt;Paramètres!$B$21,Paramètres!$C$21,Paramètres!$C$22))))))))),M10),"")</f>
        <v>De 55 à 59 ans</v>
      </c>
      <c r="R10" s="1">
        <f t="shared" si="2"/>
        <v>1</v>
      </c>
      <c r="S10" s="31">
        <f t="shared" ca="1" si="3"/>
        <v>35.916666666666664</v>
      </c>
      <c r="T10" s="1" t="str">
        <f ca="1">IF(K10=1,IF(Paramètres!$E$25,IF(S10&lt;Paramètres!$B$29,Paramètres!$C$29,IF(S10&lt;Paramètres!$B$30,Paramètres!$C$30,IF(S10&lt;Paramètres!$B$31,Paramètres!$C$31,IF(S10&lt;Paramètres!$B$32,Paramètres!$C$32,IF(S10&lt;Paramètres!$B$33,Paramètres!$C$33,IF(S10&lt;Paramètres!$B$34,Paramètres!$C$34,IF(S10&lt;Paramètres!$B$35,Paramètres!$C$35,IF(S10&lt;Paramètres!$B$36,Paramètres!$C$36,IF(S10&lt;Paramètres!$B$37,Paramètres!$C$37,Paramètres!$C$38))))))))),[3]Données!P459),"")</f>
        <v>De 35 à 39 ans</v>
      </c>
    </row>
    <row r="11" spans="1:20" x14ac:dyDescent="0.25">
      <c r="A11" s="47">
        <v>344</v>
      </c>
      <c r="B11" s="47" t="s">
        <v>62</v>
      </c>
      <c r="C11" s="47" t="s">
        <v>42</v>
      </c>
      <c r="D11" s="47" t="s">
        <v>36</v>
      </c>
      <c r="E11" s="47" t="s">
        <v>37</v>
      </c>
      <c r="F11" s="48">
        <v>33085</v>
      </c>
      <c r="G11" s="49" t="s">
        <v>47</v>
      </c>
      <c r="H11" s="48">
        <v>24038</v>
      </c>
      <c r="I11" s="48">
        <f t="shared" si="0"/>
        <v>45953</v>
      </c>
      <c r="J11" s="48">
        <v>45953</v>
      </c>
      <c r="K11" s="84">
        <v>0</v>
      </c>
      <c r="L11" s="48" t="s">
        <v>44</v>
      </c>
      <c r="M11" s="5">
        <f t="shared" ca="1" si="1"/>
        <v>0</v>
      </c>
      <c r="N11" s="43" t="s">
        <v>39</v>
      </c>
      <c r="O11" s="43"/>
      <c r="P11" s="1" t="s">
        <v>40</v>
      </c>
      <c r="Q11" s="30" t="str">
        <f>IF(K11=1,IF(Paramètres!$E$9,IF(M11&lt;Paramètres!$B$13,Paramètres!$C$13,IF(M11&lt;Paramètres!$B$14,Paramètres!$C$14,IF(M11&lt;Paramètres!$B$15,Paramètres!$C$15,IF(M11&lt;Paramètres!$B$16,Paramètres!$C$16,IF(M11&lt;Paramètres!$B$17,Paramètres!$C$17,IF(M11&lt;Paramètres!$B$18,Paramètres!$C$18,IF(M11&lt;Paramètres!$B$19,Paramètres!$C$19,IF(M11&lt;Paramètres!$B$20,Paramètres!$C$20,IF(M11&lt;Paramètres!$B$21,Paramètres!$C$21,Paramètres!$C$22))))))))),M11),"")</f>
        <v/>
      </c>
      <c r="R11" s="1">
        <f t="shared" si="2"/>
        <v>1</v>
      </c>
      <c r="S11" s="31">
        <f t="shared" ca="1" si="3"/>
        <v>0</v>
      </c>
      <c r="T11" s="1" t="str">
        <f>IF(K11=1,IF(Paramètres!$E$25,IF(S11&lt;Paramètres!$B$29,Paramètres!$C$29,IF(S11&lt;Paramètres!$B$30,Paramètres!$C$30,IF(S11&lt;Paramètres!$B$31,Paramètres!$C$31,IF(S11&lt;Paramètres!$B$32,Paramètres!$C$32,IF(S11&lt;Paramètres!$B$33,Paramètres!$C$33,IF(S11&lt;Paramètres!$B$34,Paramètres!$C$34,IF(S11&lt;Paramètres!$B$35,Paramètres!$C$35,IF(S11&lt;Paramètres!$B$36,Paramètres!$C$36,IF(S11&lt;Paramètres!$B$37,Paramètres!$C$37,Paramètres!$C$38))))))))),[3]Données!P460),"")</f>
        <v/>
      </c>
    </row>
    <row r="12" spans="1:20" hidden="1" x14ac:dyDescent="0.25">
      <c r="A12" s="47">
        <v>347</v>
      </c>
      <c r="B12" s="47" t="s">
        <v>63</v>
      </c>
      <c r="C12" s="47" t="s">
        <v>64</v>
      </c>
      <c r="D12" s="47" t="s">
        <v>36</v>
      </c>
      <c r="E12" s="47" t="s">
        <v>37</v>
      </c>
      <c r="F12" s="48">
        <v>33148</v>
      </c>
      <c r="G12" s="49" t="s">
        <v>65</v>
      </c>
      <c r="H12" s="48">
        <v>24867</v>
      </c>
      <c r="I12" s="48">
        <f t="shared" si="0"/>
        <v>46782</v>
      </c>
      <c r="J12" s="48"/>
      <c r="K12" s="84">
        <v>1</v>
      </c>
      <c r="L12" s="48"/>
      <c r="M12" s="5">
        <f t="shared" ca="1" si="1"/>
        <v>58.416666666666664</v>
      </c>
      <c r="N12" s="43" t="s">
        <v>39</v>
      </c>
      <c r="O12" s="43" t="s">
        <v>2</v>
      </c>
      <c r="P12" s="1" t="s">
        <v>40</v>
      </c>
      <c r="Q12" s="30" t="str">
        <f ca="1">IF(K12=1,IF(Paramètres!$E$9,IF(M12&lt;Paramètres!$B$13,Paramètres!$C$13,IF(M12&lt;Paramètres!$B$14,Paramètres!$C$14,IF(M12&lt;Paramètres!$B$15,Paramètres!$C$15,IF(M12&lt;Paramètres!$B$16,Paramètres!$C$16,IF(M12&lt;Paramètres!$B$17,Paramètres!$C$17,IF(M12&lt;Paramètres!$B$18,Paramètres!$C$18,IF(M12&lt;Paramètres!$B$19,Paramètres!$C$19,IF(M12&lt;Paramètres!$B$20,Paramètres!$C$20,IF(M12&lt;Paramètres!$B$21,Paramètres!$C$21,Paramètres!$C$22))))))))),M12),"")</f>
        <v>De 55 à 59 ans</v>
      </c>
      <c r="R12" s="1">
        <f t="shared" si="2"/>
        <v>1</v>
      </c>
      <c r="S12" s="31">
        <f t="shared" ca="1" si="3"/>
        <v>35.75</v>
      </c>
      <c r="T12" s="1" t="str">
        <f ca="1">IF(K12=1,IF(Paramètres!$E$25,IF(S12&lt;Paramètres!$B$29,Paramètres!$C$29,IF(S12&lt;Paramètres!$B$30,Paramètres!$C$30,IF(S12&lt;Paramètres!$B$31,Paramètres!$C$31,IF(S12&lt;Paramètres!$B$32,Paramètres!$C$32,IF(S12&lt;Paramètres!$B$33,Paramètres!$C$33,IF(S12&lt;Paramètres!$B$34,Paramètres!$C$34,IF(S12&lt;Paramètres!$B$35,Paramètres!$C$35,IF(S12&lt;Paramètres!$B$36,Paramètres!$C$36,IF(S12&lt;Paramètres!$B$37,Paramètres!$C$37,Paramètres!$C$38))))))))),[3]Données!P461),"")</f>
        <v>De 35 à 39 ans</v>
      </c>
    </row>
    <row r="13" spans="1:20" x14ac:dyDescent="0.25">
      <c r="A13" s="47">
        <v>354</v>
      </c>
      <c r="B13" s="47" t="s">
        <v>66</v>
      </c>
      <c r="C13" s="47" t="s">
        <v>67</v>
      </c>
      <c r="D13" s="47" t="s">
        <v>36</v>
      </c>
      <c r="E13" s="47" t="s">
        <v>55</v>
      </c>
      <c r="F13" s="48">
        <v>33233</v>
      </c>
      <c r="G13" s="49" t="s">
        <v>68</v>
      </c>
      <c r="H13" s="48">
        <v>23867</v>
      </c>
      <c r="I13" s="48">
        <f t="shared" si="0"/>
        <v>45782</v>
      </c>
      <c r="J13" s="48">
        <v>45782</v>
      </c>
      <c r="K13" s="84">
        <v>0</v>
      </c>
      <c r="L13" s="48" t="s">
        <v>44</v>
      </c>
      <c r="M13" s="5">
        <f t="shared" ca="1" si="1"/>
        <v>0</v>
      </c>
      <c r="N13" s="43" t="s">
        <v>39</v>
      </c>
      <c r="O13" s="43"/>
      <c r="P13" s="1" t="s">
        <v>40</v>
      </c>
      <c r="Q13" s="30" t="str">
        <f>IF(K13=1,IF(Paramètres!$E$9,IF(M13&lt;Paramètres!$B$13,Paramètres!$C$13,IF(M13&lt;Paramètres!$B$14,Paramètres!$C$14,IF(M13&lt;Paramètres!$B$15,Paramètres!$C$15,IF(M13&lt;Paramètres!$B$16,Paramètres!$C$16,IF(M13&lt;Paramètres!$B$17,Paramètres!$C$17,IF(M13&lt;Paramètres!$B$18,Paramètres!$C$18,IF(M13&lt;Paramètres!$B$19,Paramètres!$C$19,IF(M13&lt;Paramètres!$B$20,Paramètres!$C$20,IF(M13&lt;Paramètres!$B$21,Paramètres!$C$21,Paramètres!$C$22))))))))),M13),"")</f>
        <v/>
      </c>
      <c r="R13" s="1">
        <f t="shared" si="2"/>
        <v>1</v>
      </c>
      <c r="S13" s="31">
        <f t="shared" ca="1" si="3"/>
        <v>0</v>
      </c>
      <c r="T13" s="1" t="str">
        <f>IF(K13=1,IF(Paramètres!$E$25,IF(S13&lt;Paramètres!$B$29,Paramètres!$C$29,IF(S13&lt;Paramètres!$B$30,Paramètres!$C$30,IF(S13&lt;Paramètres!$B$31,Paramètres!$C$31,IF(S13&lt;Paramètres!$B$32,Paramètres!$C$32,IF(S13&lt;Paramètres!$B$33,Paramètres!$C$33,IF(S13&lt;Paramètres!$B$34,Paramètres!$C$34,IF(S13&lt;Paramètres!$B$35,Paramètres!$C$35,IF(S13&lt;Paramètres!$B$36,Paramètres!$C$36,IF(S13&lt;Paramètres!$B$37,Paramètres!$C$37,Paramètres!$C$38))))))))),[3]Données!P602),"")</f>
        <v/>
      </c>
    </row>
    <row r="14" spans="1:20" hidden="1" x14ac:dyDescent="0.25">
      <c r="A14" s="44">
        <v>355</v>
      </c>
      <c r="B14" s="44" t="s">
        <v>69</v>
      </c>
      <c r="C14" s="44" t="s">
        <v>70</v>
      </c>
      <c r="D14" s="44" t="s">
        <v>36</v>
      </c>
      <c r="E14" s="47" t="s">
        <v>37</v>
      </c>
      <c r="F14" s="45">
        <v>33246</v>
      </c>
      <c r="G14" s="46" t="s">
        <v>71</v>
      </c>
      <c r="H14" s="45">
        <v>24324</v>
      </c>
      <c r="I14" s="48">
        <f t="shared" si="0"/>
        <v>46239</v>
      </c>
      <c r="J14" s="48"/>
      <c r="K14" s="84">
        <v>1</v>
      </c>
      <c r="L14" s="48"/>
      <c r="M14" s="5">
        <f t="shared" ca="1" si="1"/>
        <v>59.916666666666664</v>
      </c>
      <c r="N14" s="42" t="s">
        <v>39</v>
      </c>
      <c r="O14" s="43" t="s">
        <v>2</v>
      </c>
      <c r="P14" s="1" t="s">
        <v>40</v>
      </c>
      <c r="Q14" s="30" t="str">
        <f ca="1">IF(K14=1,IF(Paramètres!$E$9,IF(M14&lt;Paramètres!$B$13,Paramètres!$C$13,IF(M14&lt;Paramètres!$B$14,Paramètres!$C$14,IF(M14&lt;Paramètres!$B$15,Paramètres!$C$15,IF(M14&lt;Paramètres!$B$16,Paramètres!$C$16,IF(M14&lt;Paramètres!$B$17,Paramètres!$C$17,IF(M14&lt;Paramètres!$B$18,Paramètres!$C$18,IF(M14&lt;Paramètres!$B$19,Paramètres!$C$19,IF(M14&lt;Paramètres!$B$20,Paramètres!$C$20,IF(M14&lt;Paramètres!$B$21,Paramètres!$C$21,Paramètres!$C$22))))))))),M14),"")</f>
        <v>De 55 à 59 ans</v>
      </c>
      <c r="R14" s="1">
        <f t="shared" si="2"/>
        <v>1</v>
      </c>
      <c r="S14" s="31">
        <f t="shared" ca="1" si="3"/>
        <v>35.416666666666664</v>
      </c>
      <c r="T14" s="1" t="str">
        <f ca="1">IF(K14=1,IF(Paramètres!$E$25,IF(S14&lt;Paramètres!$B$29,Paramètres!$C$29,IF(S14&lt;Paramètres!$B$30,Paramètres!$C$30,IF(S14&lt;Paramètres!$B$31,Paramètres!$C$31,IF(S14&lt;Paramètres!$B$32,Paramètres!$C$32,IF(S14&lt;Paramètres!$B$33,Paramètres!$C$33,IF(S14&lt;Paramètres!$B$34,Paramètres!$C$34,IF(S14&lt;Paramètres!$B$35,Paramètres!$C$35,IF(S14&lt;Paramètres!$B$36,Paramètres!$C$36,IF(S14&lt;Paramètres!$B$37,Paramètres!$C$37,Paramètres!$C$38))))))))),[3]Données!P462),"")</f>
        <v>De 35 à 39 ans</v>
      </c>
    </row>
    <row r="15" spans="1:20" hidden="1" x14ac:dyDescent="0.25">
      <c r="A15" s="47">
        <v>356</v>
      </c>
      <c r="B15" s="47" t="s">
        <v>72</v>
      </c>
      <c r="C15" s="47" t="s">
        <v>46</v>
      </c>
      <c r="D15" s="47" t="s">
        <v>36</v>
      </c>
      <c r="E15" s="47" t="s">
        <v>37</v>
      </c>
      <c r="F15" s="48">
        <v>33287</v>
      </c>
      <c r="G15" s="49" t="s">
        <v>56</v>
      </c>
      <c r="H15" s="48">
        <v>25263</v>
      </c>
      <c r="I15" s="48">
        <f t="shared" si="0"/>
        <v>47178</v>
      </c>
      <c r="J15" s="48"/>
      <c r="K15" s="84">
        <v>1</v>
      </c>
      <c r="L15" s="48"/>
      <c r="M15" s="5">
        <f t="shared" ca="1" si="1"/>
        <v>57.333333333333336</v>
      </c>
      <c r="N15" s="43" t="s">
        <v>39</v>
      </c>
      <c r="O15" s="43" t="s">
        <v>2</v>
      </c>
      <c r="P15" s="1" t="s">
        <v>40</v>
      </c>
      <c r="Q15" s="30" t="str">
        <f ca="1">IF(K15=1,IF(Paramètres!$E$9,IF(M15&lt;Paramètres!$B$13,Paramètres!$C$13,IF(M15&lt;Paramètres!$B$14,Paramètres!$C$14,IF(M15&lt;Paramètres!$B$15,Paramètres!$C$15,IF(M15&lt;Paramètres!$B$16,Paramètres!$C$16,IF(M15&lt;Paramètres!$B$17,Paramètres!$C$17,IF(M15&lt;Paramètres!$B$18,Paramètres!$C$18,IF(M15&lt;Paramètres!$B$19,Paramètres!$C$19,IF(M15&lt;Paramètres!$B$20,Paramètres!$C$20,IF(M15&lt;Paramètres!$B$21,Paramètres!$C$21,Paramètres!$C$22))))))))),M15),"")</f>
        <v>De 55 à 59 ans</v>
      </c>
      <c r="R15" s="1">
        <f t="shared" si="2"/>
        <v>1</v>
      </c>
      <c r="S15" s="31">
        <f t="shared" ca="1" si="3"/>
        <v>35.333333333333336</v>
      </c>
      <c r="T15" s="1" t="str">
        <f ca="1">IF(K15=1,IF(Paramètres!$E$25,IF(S15&lt;Paramètres!$B$29,Paramètres!$C$29,IF(S15&lt;Paramètres!$B$30,Paramètres!$C$30,IF(S15&lt;Paramètres!$B$31,Paramètres!$C$31,IF(S15&lt;Paramètres!$B$32,Paramètres!$C$32,IF(S15&lt;Paramètres!$B$33,Paramètres!$C$33,IF(S15&lt;Paramètres!$B$34,Paramètres!$C$34,IF(S15&lt;Paramètres!$B$35,Paramètres!$C$35,IF(S15&lt;Paramètres!$B$36,Paramètres!$C$36,IF(S15&lt;Paramètres!$B$37,Paramètres!$C$37,Paramètres!$C$38))))))))),[3]Données!P463),"")</f>
        <v>De 35 à 39 ans</v>
      </c>
    </row>
    <row r="16" spans="1:20" hidden="1" x14ac:dyDescent="0.25">
      <c r="A16" s="44">
        <v>357</v>
      </c>
      <c r="B16" s="44" t="s">
        <v>73</v>
      </c>
      <c r="C16" s="44" t="s">
        <v>74</v>
      </c>
      <c r="D16" s="44" t="s">
        <v>36</v>
      </c>
      <c r="E16" s="47" t="s">
        <v>37</v>
      </c>
      <c r="F16" s="45">
        <v>33288</v>
      </c>
      <c r="G16" s="46" t="s">
        <v>75</v>
      </c>
      <c r="H16" s="45">
        <v>24627</v>
      </c>
      <c r="I16" s="48">
        <f t="shared" si="0"/>
        <v>46542</v>
      </c>
      <c r="J16" s="48"/>
      <c r="K16" s="84">
        <v>1</v>
      </c>
      <c r="L16" s="48"/>
      <c r="M16" s="5">
        <f t="shared" ca="1" si="1"/>
        <v>59.083333333333336</v>
      </c>
      <c r="N16" s="42" t="s">
        <v>39</v>
      </c>
      <c r="O16" s="43" t="s">
        <v>2</v>
      </c>
      <c r="P16" s="1" t="s">
        <v>40</v>
      </c>
      <c r="Q16" s="30" t="str">
        <f ca="1">IF(K16=1,IF(Paramètres!$E$9,IF(M16&lt;Paramètres!$B$13,Paramètres!$C$13,IF(M16&lt;Paramètres!$B$14,Paramètres!$C$14,IF(M16&lt;Paramètres!$B$15,Paramètres!$C$15,IF(M16&lt;Paramètres!$B$16,Paramètres!$C$16,IF(M16&lt;Paramètres!$B$17,Paramètres!$C$17,IF(M16&lt;Paramètres!$B$18,Paramètres!$C$18,IF(M16&lt;Paramètres!$B$19,Paramètres!$C$19,IF(M16&lt;Paramètres!$B$20,Paramètres!$C$20,IF(M16&lt;Paramètres!$B$21,Paramètres!$C$21,Paramètres!$C$22))))))))),M16),"")</f>
        <v>De 55 à 59 ans</v>
      </c>
      <c r="R16" s="1">
        <f t="shared" si="2"/>
        <v>1</v>
      </c>
      <c r="S16" s="31">
        <f t="shared" ca="1" si="3"/>
        <v>35.333333333333336</v>
      </c>
      <c r="T16" s="1" t="str">
        <f ca="1">IF(K16=1,IF(Paramètres!$E$25,IF(S16&lt;Paramètres!$B$29,Paramètres!$C$29,IF(S16&lt;Paramètres!$B$30,Paramètres!$C$30,IF(S16&lt;Paramètres!$B$31,Paramètres!$C$31,IF(S16&lt;Paramètres!$B$32,Paramètres!$C$32,IF(S16&lt;Paramètres!$B$33,Paramètres!$C$33,IF(S16&lt;Paramètres!$B$34,Paramètres!$C$34,IF(S16&lt;Paramètres!$B$35,Paramètres!$C$35,IF(S16&lt;Paramètres!$B$36,Paramètres!$C$36,IF(S16&lt;Paramètres!$B$37,Paramètres!$C$37,Paramètres!$C$38))))))))),[3]Données!P464),"")</f>
        <v>De 35 à 39 ans</v>
      </c>
    </row>
    <row r="17" spans="1:20" x14ac:dyDescent="0.25">
      <c r="A17" s="47">
        <v>363</v>
      </c>
      <c r="B17" s="47" t="s">
        <v>76</v>
      </c>
      <c r="C17" s="47" t="s">
        <v>77</v>
      </c>
      <c r="D17" s="47" t="s">
        <v>36</v>
      </c>
      <c r="E17" s="47" t="s">
        <v>55</v>
      </c>
      <c r="F17" s="48">
        <v>33525</v>
      </c>
      <c r="G17" s="49" t="s">
        <v>56</v>
      </c>
      <c r="H17" s="48">
        <v>23911</v>
      </c>
      <c r="I17" s="48">
        <f t="shared" si="0"/>
        <v>45826</v>
      </c>
      <c r="J17" s="48">
        <v>45826</v>
      </c>
      <c r="K17" s="84">
        <v>0</v>
      </c>
      <c r="L17" s="48" t="s">
        <v>44</v>
      </c>
      <c r="M17" s="5">
        <f t="shared" ca="1" si="1"/>
        <v>0</v>
      </c>
      <c r="N17" s="43" t="s">
        <v>39</v>
      </c>
      <c r="O17" s="43"/>
      <c r="P17" s="1" t="s">
        <v>40</v>
      </c>
      <c r="Q17" s="30" t="str">
        <f>IF(K17=1,IF(Paramètres!$E$9,IF(M17&lt;Paramètres!$B$13,Paramètres!$C$13,IF(M17&lt;Paramètres!$B$14,Paramètres!$C$14,IF(M17&lt;Paramètres!$B$15,Paramètres!$C$15,IF(M17&lt;Paramètres!$B$16,Paramètres!$C$16,IF(M17&lt;Paramètres!$B$17,Paramètres!$C$17,IF(M17&lt;Paramètres!$B$18,Paramètres!$C$18,IF(M17&lt;Paramètres!$B$19,Paramètres!$C$19,IF(M17&lt;Paramètres!$B$20,Paramètres!$C$20,IF(M17&lt;Paramètres!$B$21,Paramètres!$C$21,Paramètres!$C$22))))))))),M17),"")</f>
        <v/>
      </c>
      <c r="R17" s="1">
        <f t="shared" si="2"/>
        <v>1</v>
      </c>
      <c r="S17" s="31">
        <f t="shared" ca="1" si="3"/>
        <v>0</v>
      </c>
      <c r="T17" s="1" t="str">
        <f>IF(K17=1,IF(Paramètres!$E$25,IF(S17&lt;Paramètres!$B$29,Paramètres!$C$29,IF(S17&lt;Paramètres!$B$30,Paramètres!$C$30,IF(S17&lt;Paramètres!$B$31,Paramètres!$C$31,IF(S17&lt;Paramètres!$B$32,Paramètres!$C$32,IF(S17&lt;Paramètres!$B$33,Paramètres!$C$33,IF(S17&lt;Paramètres!$B$34,Paramètres!$C$34,IF(S17&lt;Paramètres!$B$35,Paramètres!$C$35,IF(S17&lt;Paramètres!$B$36,Paramètres!$C$36,IF(S17&lt;Paramètres!$B$37,Paramètres!$C$37,Paramètres!$C$38))))))))),[3]Données!P603),"")</f>
        <v/>
      </c>
    </row>
    <row r="18" spans="1:20" hidden="1" x14ac:dyDescent="0.25">
      <c r="A18" s="44">
        <v>364</v>
      </c>
      <c r="B18" s="44" t="s">
        <v>78</v>
      </c>
      <c r="C18" s="44" t="s">
        <v>79</v>
      </c>
      <c r="D18" s="44" t="s">
        <v>36</v>
      </c>
      <c r="E18" s="47" t="s">
        <v>55</v>
      </c>
      <c r="F18" s="45">
        <v>33589</v>
      </c>
      <c r="G18" s="46" t="s">
        <v>50</v>
      </c>
      <c r="H18" s="45">
        <v>25498</v>
      </c>
      <c r="I18" s="48">
        <f t="shared" si="0"/>
        <v>47413</v>
      </c>
      <c r="J18" s="48"/>
      <c r="K18" s="84">
        <v>1</v>
      </c>
      <c r="L18" s="48"/>
      <c r="M18" s="5">
        <f t="shared" ca="1" si="1"/>
        <v>56.666666666666664</v>
      </c>
      <c r="N18" s="42" t="s">
        <v>39</v>
      </c>
      <c r="O18" s="43" t="s">
        <v>2</v>
      </c>
      <c r="P18" s="1" t="s">
        <v>40</v>
      </c>
      <c r="Q18" s="30" t="str">
        <f ca="1">IF(K18=1,IF(Paramètres!$E$9,IF(M18&lt;Paramètres!$B$13,Paramètres!$C$13,IF(M18&lt;Paramètres!$B$14,Paramètres!$C$14,IF(M18&lt;Paramètres!$B$15,Paramètres!$C$15,IF(M18&lt;Paramètres!$B$16,Paramètres!$C$16,IF(M18&lt;Paramètres!$B$17,Paramètres!$C$17,IF(M18&lt;Paramètres!$B$18,Paramètres!$C$18,IF(M18&lt;Paramètres!$B$19,Paramètres!$C$19,IF(M18&lt;Paramètres!$B$20,Paramètres!$C$20,IF(M18&lt;Paramètres!$B$21,Paramètres!$C$21,Paramètres!$C$22))))))))),M18),"")</f>
        <v>De 55 à 59 ans</v>
      </c>
      <c r="R18" s="1">
        <f t="shared" si="2"/>
        <v>1</v>
      </c>
      <c r="S18" s="31">
        <f t="shared" ca="1" si="3"/>
        <v>34.5</v>
      </c>
      <c r="T18" s="1" t="str">
        <f ca="1">IF(K18=1,IF(Paramètres!$E$25,IF(S18&lt;Paramètres!$B$29,Paramètres!$C$29,IF(S18&lt;Paramètres!$B$30,Paramètres!$C$30,IF(S18&lt;Paramètres!$B$31,Paramètres!$C$31,IF(S18&lt;Paramètres!$B$32,Paramètres!$C$32,IF(S18&lt;Paramètres!$B$33,Paramètres!$C$33,IF(S18&lt;Paramètres!$B$34,Paramètres!$C$34,IF(S18&lt;Paramètres!$B$35,Paramètres!$C$35,IF(S18&lt;Paramètres!$B$36,Paramètres!$C$36,IF(S18&lt;Paramètres!$B$37,Paramètres!$C$37,Paramètres!$C$38))))))))),[3]Données!P465),"")</f>
        <v>De 30 à 34 ans</v>
      </c>
    </row>
    <row r="19" spans="1:20" hidden="1" x14ac:dyDescent="0.25">
      <c r="A19" s="47">
        <v>367</v>
      </c>
      <c r="B19" s="47" t="s">
        <v>80</v>
      </c>
      <c r="C19" s="47" t="s">
        <v>81</v>
      </c>
      <c r="D19" s="47" t="s">
        <v>36</v>
      </c>
      <c r="E19" s="47" t="s">
        <v>37</v>
      </c>
      <c r="F19" s="48">
        <v>33637</v>
      </c>
      <c r="G19" s="49" t="s">
        <v>82</v>
      </c>
      <c r="H19" s="48">
        <v>25494</v>
      </c>
      <c r="I19" s="48">
        <f t="shared" si="0"/>
        <v>47409</v>
      </c>
      <c r="J19" s="48"/>
      <c r="K19" s="84">
        <v>1</v>
      </c>
      <c r="L19" s="48"/>
      <c r="M19" s="5">
        <f t="shared" ca="1" si="1"/>
        <v>56.666666666666664</v>
      </c>
      <c r="N19" s="43" t="s">
        <v>39</v>
      </c>
      <c r="O19" s="43" t="s">
        <v>2</v>
      </c>
      <c r="P19" s="1" t="s">
        <v>40</v>
      </c>
      <c r="Q19" s="30" t="str">
        <f ca="1">IF(K19=1,IF(Paramètres!$E$9,IF(M19&lt;Paramètres!$B$13,Paramètres!$C$13,IF(M19&lt;Paramètres!$B$14,Paramètres!$C$14,IF(M19&lt;Paramètres!$B$15,Paramètres!$C$15,IF(M19&lt;Paramètres!$B$16,Paramètres!$C$16,IF(M19&lt;Paramètres!$B$17,Paramètres!$C$17,IF(M19&lt;Paramètres!$B$18,Paramètres!$C$18,IF(M19&lt;Paramètres!$B$19,Paramètres!$C$19,IF(M19&lt;Paramètres!$B$20,Paramètres!$C$20,IF(M19&lt;Paramètres!$B$21,Paramètres!$C$21,Paramètres!$C$22))))))))),M19),"")</f>
        <v>De 55 à 59 ans</v>
      </c>
      <c r="R19" s="1">
        <f t="shared" si="2"/>
        <v>1</v>
      </c>
      <c r="S19" s="31">
        <f t="shared" ca="1" si="3"/>
        <v>34.416666666666664</v>
      </c>
      <c r="T19" s="1" t="str">
        <f ca="1">IF(K19=1,IF(Paramètres!$E$25,IF(S19&lt;Paramètres!$B$29,Paramètres!$C$29,IF(S19&lt;Paramètres!$B$30,Paramètres!$C$30,IF(S19&lt;Paramètres!$B$31,Paramètres!$C$31,IF(S19&lt;Paramètres!$B$32,Paramètres!$C$32,IF(S19&lt;Paramètres!$B$33,Paramètres!$C$33,IF(S19&lt;Paramètres!$B$34,Paramètres!$C$34,IF(S19&lt;Paramètres!$B$35,Paramètres!$C$35,IF(S19&lt;Paramètres!$B$36,Paramètres!$C$36,IF(S19&lt;Paramètres!$B$37,Paramètres!$C$37,Paramètres!$C$38))))))))),[3]Données!P466),"")</f>
        <v>De 30 à 34 ans</v>
      </c>
    </row>
    <row r="20" spans="1:20" hidden="1" x14ac:dyDescent="0.25">
      <c r="A20" s="44">
        <v>368</v>
      </c>
      <c r="B20" s="44" t="s">
        <v>83</v>
      </c>
      <c r="C20" s="44" t="s">
        <v>84</v>
      </c>
      <c r="D20" s="44" t="s">
        <v>36</v>
      </c>
      <c r="E20" s="47" t="s">
        <v>37</v>
      </c>
      <c r="F20" s="45">
        <v>33637</v>
      </c>
      <c r="G20" s="46" t="s">
        <v>50</v>
      </c>
      <c r="H20" s="45">
        <v>25369</v>
      </c>
      <c r="I20" s="48">
        <f t="shared" si="0"/>
        <v>47284</v>
      </c>
      <c r="J20" s="48"/>
      <c r="K20" s="84">
        <v>1</v>
      </c>
      <c r="L20" s="48"/>
      <c r="M20" s="5">
        <f t="shared" ca="1" si="1"/>
        <v>57</v>
      </c>
      <c r="N20" s="42" t="s">
        <v>39</v>
      </c>
      <c r="O20" s="43" t="s">
        <v>2</v>
      </c>
      <c r="P20" s="1" t="s">
        <v>40</v>
      </c>
      <c r="Q20" s="30" t="str">
        <f ca="1">IF(K20=1,IF(Paramètres!$E$9,IF(M20&lt;Paramètres!$B$13,Paramètres!$C$13,IF(M20&lt;Paramètres!$B$14,Paramètres!$C$14,IF(M20&lt;Paramètres!$B$15,Paramètres!$C$15,IF(M20&lt;Paramètres!$B$16,Paramètres!$C$16,IF(M20&lt;Paramètres!$B$17,Paramètres!$C$17,IF(M20&lt;Paramètres!$B$18,Paramètres!$C$18,IF(M20&lt;Paramètres!$B$19,Paramètres!$C$19,IF(M20&lt;Paramètres!$B$20,Paramètres!$C$20,IF(M20&lt;Paramètres!$B$21,Paramètres!$C$21,Paramètres!$C$22))))))))),M20),"")</f>
        <v>De 55 à 59 ans</v>
      </c>
      <c r="R20" s="1">
        <f t="shared" si="2"/>
        <v>1</v>
      </c>
      <c r="S20" s="31">
        <f t="shared" ca="1" si="3"/>
        <v>34.416666666666664</v>
      </c>
      <c r="T20" s="1" t="str">
        <f ca="1">IF(K20=1,IF(Paramètres!$E$25,IF(S20&lt;Paramètres!$B$29,Paramètres!$C$29,IF(S20&lt;Paramètres!$B$30,Paramètres!$C$30,IF(S20&lt;Paramètres!$B$31,Paramètres!$C$31,IF(S20&lt;Paramètres!$B$32,Paramètres!$C$32,IF(S20&lt;Paramètres!$B$33,Paramètres!$C$33,IF(S20&lt;Paramètres!$B$34,Paramètres!$C$34,IF(S20&lt;Paramètres!$B$35,Paramètres!$C$35,IF(S20&lt;Paramètres!$B$36,Paramètres!$C$36,IF(S20&lt;Paramètres!$B$37,Paramètres!$C$37,Paramètres!$C$38))))))))),[3]Données!P467),"")</f>
        <v>De 30 à 34 ans</v>
      </c>
    </row>
    <row r="21" spans="1:20" hidden="1" x14ac:dyDescent="0.25">
      <c r="A21" s="47">
        <v>372</v>
      </c>
      <c r="B21" s="47" t="s">
        <v>85</v>
      </c>
      <c r="C21" s="47" t="s">
        <v>86</v>
      </c>
      <c r="D21" s="47" t="s">
        <v>36</v>
      </c>
      <c r="E21" s="47" t="s">
        <v>55</v>
      </c>
      <c r="F21" s="48">
        <v>33948</v>
      </c>
      <c r="G21" s="49" t="s">
        <v>87</v>
      </c>
      <c r="H21" s="48">
        <v>27210</v>
      </c>
      <c r="I21" s="48">
        <f t="shared" si="0"/>
        <v>49125</v>
      </c>
      <c r="J21" s="48"/>
      <c r="K21" s="84">
        <v>1</v>
      </c>
      <c r="L21" s="48"/>
      <c r="M21" s="5">
        <f t="shared" ca="1" si="1"/>
        <v>52</v>
      </c>
      <c r="N21" s="43" t="s">
        <v>39</v>
      </c>
      <c r="O21" s="43" t="s">
        <v>2</v>
      </c>
      <c r="P21" s="1" t="s">
        <v>40</v>
      </c>
      <c r="Q21" s="30" t="str">
        <f ca="1">IF(K21=1,IF(Paramètres!$E$9,IF(M21&lt;Paramètres!$B$13,Paramètres!$C$13,IF(M21&lt;Paramètres!$B$14,Paramètres!$C$14,IF(M21&lt;Paramètres!$B$15,Paramètres!$C$15,IF(M21&lt;Paramètres!$B$16,Paramètres!$C$16,IF(M21&lt;Paramètres!$B$17,Paramètres!$C$17,IF(M21&lt;Paramètres!$B$18,Paramètres!$C$18,IF(M21&lt;Paramètres!$B$19,Paramètres!$C$19,IF(M21&lt;Paramètres!$B$20,Paramètres!$C$20,IF(M21&lt;Paramètres!$B$21,Paramètres!$C$21,Paramètres!$C$22))))))))),M21),"")</f>
        <v>De 50 à 54 ans</v>
      </c>
      <c r="R21" s="1">
        <f t="shared" si="2"/>
        <v>1</v>
      </c>
      <c r="S21" s="31">
        <f t="shared" ca="1" si="3"/>
        <v>33.5</v>
      </c>
      <c r="T21" s="1" t="str">
        <f ca="1">IF(K21=1,IF(Paramètres!$E$25,IF(S21&lt;Paramètres!$B$29,Paramètres!$C$29,IF(S21&lt;Paramètres!$B$30,Paramètres!$C$30,IF(S21&lt;Paramètres!$B$31,Paramètres!$C$31,IF(S21&lt;Paramètres!$B$32,Paramètres!$C$32,IF(S21&lt;Paramètres!$B$33,Paramètres!$C$33,IF(S21&lt;Paramètres!$B$34,Paramètres!$C$34,IF(S21&lt;Paramètres!$B$35,Paramètres!$C$35,IF(S21&lt;Paramètres!$B$36,Paramètres!$C$36,IF(S21&lt;Paramètres!$B$37,Paramètres!$C$37,Paramètres!$C$38))))))))),[3]Données!P468),"")</f>
        <v>De 30 à 34 ans</v>
      </c>
    </row>
    <row r="22" spans="1:20" hidden="1" x14ac:dyDescent="0.25">
      <c r="A22" s="44">
        <v>380</v>
      </c>
      <c r="B22" s="44" t="s">
        <v>88</v>
      </c>
      <c r="C22" s="44" t="s">
        <v>89</v>
      </c>
      <c r="D22" s="44" t="s">
        <v>36</v>
      </c>
      <c r="E22" s="47" t="s">
        <v>55</v>
      </c>
      <c r="F22" s="45">
        <v>33953</v>
      </c>
      <c r="G22" s="46" t="s">
        <v>38</v>
      </c>
      <c r="H22" s="45">
        <v>26109</v>
      </c>
      <c r="I22" s="48">
        <f t="shared" si="0"/>
        <v>48024</v>
      </c>
      <c r="J22" s="48"/>
      <c r="K22" s="84">
        <v>1</v>
      </c>
      <c r="L22" s="48"/>
      <c r="M22" s="5">
        <f t="shared" ca="1" si="1"/>
        <v>55</v>
      </c>
      <c r="N22" s="42" t="s">
        <v>39</v>
      </c>
      <c r="O22" s="43" t="s">
        <v>2</v>
      </c>
      <c r="P22" s="1" t="s">
        <v>40</v>
      </c>
      <c r="Q22" s="30" t="str">
        <f ca="1">IF(K22=1,IF(Paramètres!$E$9,IF(M22&lt;Paramètres!$B$13,Paramètres!$C$13,IF(M22&lt;Paramètres!$B$14,Paramètres!$C$14,IF(M22&lt;Paramètres!$B$15,Paramètres!$C$15,IF(M22&lt;Paramètres!$B$16,Paramètres!$C$16,IF(M22&lt;Paramètres!$B$17,Paramètres!$C$17,IF(M22&lt;Paramètres!$B$18,Paramètres!$C$18,IF(M22&lt;Paramètres!$B$19,Paramètres!$C$19,IF(M22&lt;Paramètres!$B$20,Paramètres!$C$20,IF(M22&lt;Paramètres!$B$21,Paramètres!$C$21,Paramètres!$C$22))))))))),M22),"")</f>
        <v>De 55 à 59 ans</v>
      </c>
      <c r="R22" s="1">
        <f t="shared" si="2"/>
        <v>1</v>
      </c>
      <c r="S22" s="31">
        <f t="shared" ca="1" si="3"/>
        <v>33.5</v>
      </c>
      <c r="T22" s="1" t="str">
        <f ca="1">IF(K22=1,IF(Paramètres!$E$25,IF(S22&lt;Paramètres!$B$29,Paramètres!$C$29,IF(S22&lt;Paramètres!$B$30,Paramètres!$C$30,IF(S22&lt;Paramètres!$B$31,Paramètres!$C$31,IF(S22&lt;Paramètres!$B$32,Paramètres!$C$32,IF(S22&lt;Paramètres!$B$33,Paramètres!$C$33,IF(S22&lt;Paramètres!$B$34,Paramètres!$C$34,IF(S22&lt;Paramètres!$B$35,Paramètres!$C$35,IF(S22&lt;Paramètres!$B$36,Paramètres!$C$36,IF(S22&lt;Paramètres!$B$37,Paramètres!$C$37,Paramètres!$C$38))))))))),[3]Données!P469),"")</f>
        <v>De 30 à 34 ans</v>
      </c>
    </row>
    <row r="23" spans="1:20" hidden="1" x14ac:dyDescent="0.25">
      <c r="A23" s="44">
        <v>393</v>
      </c>
      <c r="B23" s="44" t="s">
        <v>90</v>
      </c>
      <c r="C23" s="44" t="s">
        <v>91</v>
      </c>
      <c r="D23" s="44" t="s">
        <v>36</v>
      </c>
      <c r="E23" s="47" t="s">
        <v>37</v>
      </c>
      <c r="F23" s="45">
        <v>34554</v>
      </c>
      <c r="G23" s="46" t="s">
        <v>92</v>
      </c>
      <c r="H23" s="45">
        <v>25165</v>
      </c>
      <c r="I23" s="48">
        <f t="shared" si="0"/>
        <v>47080</v>
      </c>
      <c r="J23" s="48"/>
      <c r="K23" s="84">
        <v>1</v>
      </c>
      <c r="L23" s="48"/>
      <c r="M23" s="5">
        <f t="shared" ca="1" si="1"/>
        <v>57.583333333333336</v>
      </c>
      <c r="N23" s="42" t="s">
        <v>39</v>
      </c>
      <c r="O23" s="43" t="s">
        <v>2</v>
      </c>
      <c r="P23" s="1" t="s">
        <v>40</v>
      </c>
      <c r="Q23" s="30" t="str">
        <f ca="1">IF(K23=1,IF(Paramètres!$E$9,IF(M23&lt;Paramètres!$B$13,Paramètres!$C$13,IF(M23&lt;Paramètres!$B$14,Paramètres!$C$14,IF(M23&lt;Paramètres!$B$15,Paramètres!$C$15,IF(M23&lt;Paramètres!$B$16,Paramètres!$C$16,IF(M23&lt;Paramètres!$B$17,Paramètres!$C$17,IF(M23&lt;Paramètres!$B$18,Paramètres!$C$18,IF(M23&lt;Paramètres!$B$19,Paramètres!$C$19,IF(M23&lt;Paramètres!$B$20,Paramètres!$C$20,IF(M23&lt;Paramètres!$B$21,Paramètres!$C$21,Paramètres!$C$22))))))))),M23),"")</f>
        <v>De 55 à 59 ans</v>
      </c>
      <c r="R23" s="1">
        <f t="shared" si="2"/>
        <v>1</v>
      </c>
      <c r="S23" s="31">
        <f t="shared" ca="1" si="3"/>
        <v>31.833333333333332</v>
      </c>
      <c r="T23" s="1" t="str">
        <f ca="1">IF(K23=1,IF(Paramètres!$E$25,IF(S23&lt;Paramètres!$B$29,Paramètres!$C$29,IF(S23&lt;Paramètres!$B$30,Paramètres!$C$30,IF(S23&lt;Paramètres!$B$31,Paramètres!$C$31,IF(S23&lt;Paramètres!$B$32,Paramètres!$C$32,IF(S23&lt;Paramètres!$B$33,Paramètres!$C$33,IF(S23&lt;Paramètres!$B$34,Paramètres!$C$34,IF(S23&lt;Paramètres!$B$35,Paramètres!$C$35,IF(S23&lt;Paramètres!$B$36,Paramètres!$C$36,IF(S23&lt;Paramètres!$B$37,Paramètres!$C$37,Paramètres!$C$38))))))))),[3]Données!P470),"")</f>
        <v>De 30 à 34 ans</v>
      </c>
    </row>
    <row r="24" spans="1:20" hidden="1" x14ac:dyDescent="0.25">
      <c r="A24" s="47">
        <v>455</v>
      </c>
      <c r="B24" s="47" t="s">
        <v>93</v>
      </c>
      <c r="C24" s="47" t="s">
        <v>94</v>
      </c>
      <c r="D24" s="47" t="s">
        <v>36</v>
      </c>
      <c r="E24" s="47" t="s">
        <v>55</v>
      </c>
      <c r="F24" s="48">
        <v>35947</v>
      </c>
      <c r="G24" s="49" t="s">
        <v>50</v>
      </c>
      <c r="H24" s="48">
        <v>24750</v>
      </c>
      <c r="I24" s="48">
        <f t="shared" si="0"/>
        <v>46665</v>
      </c>
      <c r="J24" s="48"/>
      <c r="K24" s="84">
        <v>1</v>
      </c>
      <c r="L24" s="48"/>
      <c r="M24" s="5">
        <f t="shared" ca="1" si="1"/>
        <v>58.75</v>
      </c>
      <c r="N24" s="43" t="s">
        <v>39</v>
      </c>
      <c r="O24" s="43" t="s">
        <v>2</v>
      </c>
      <c r="P24" s="1" t="s">
        <v>40</v>
      </c>
      <c r="Q24" s="30" t="str">
        <f ca="1">IF(K24=1,IF(Paramètres!$E$9,IF(M24&lt;Paramètres!$B$13,Paramètres!$C$13,IF(M24&lt;Paramètres!$B$14,Paramètres!$C$14,IF(M24&lt;Paramètres!$B$15,Paramètres!$C$15,IF(M24&lt;Paramètres!$B$16,Paramètres!$C$16,IF(M24&lt;Paramètres!$B$17,Paramètres!$C$17,IF(M24&lt;Paramètres!$B$18,Paramètres!$C$18,IF(M24&lt;Paramètres!$B$19,Paramètres!$C$19,IF(M24&lt;Paramètres!$B$20,Paramètres!$C$20,IF(M24&lt;Paramètres!$B$21,Paramètres!$C$21,Paramètres!$C$22))))))))),M24),"")</f>
        <v>De 55 à 59 ans</v>
      </c>
      <c r="R24" s="1">
        <f t="shared" si="2"/>
        <v>1</v>
      </c>
      <c r="S24" s="31">
        <f t="shared" ca="1" si="3"/>
        <v>28.083333333333332</v>
      </c>
      <c r="T24" s="1" t="str">
        <f ca="1">IF(K24=1,IF(Paramètres!$E$25,IF(S24&lt;Paramètres!$B$29,Paramètres!$C$29,IF(S24&lt;Paramètres!$B$30,Paramètres!$C$30,IF(S24&lt;Paramètres!$B$31,Paramètres!$C$31,IF(S24&lt;Paramètres!$B$32,Paramètres!$C$32,IF(S24&lt;Paramètres!$B$33,Paramètres!$C$33,IF(S24&lt;Paramètres!$B$34,Paramètres!$C$34,IF(S24&lt;Paramètres!$B$35,Paramètres!$C$35,IF(S24&lt;Paramètres!$B$36,Paramètres!$C$36,IF(S24&lt;Paramètres!$B$37,Paramètres!$C$37,Paramètres!$C$38))))))))),[3]Données!P471),"")</f>
        <v>De 25 à 29 ans</v>
      </c>
    </row>
    <row r="25" spans="1:20" hidden="1" x14ac:dyDescent="0.25">
      <c r="A25" s="44">
        <v>456</v>
      </c>
      <c r="B25" s="44" t="s">
        <v>95</v>
      </c>
      <c r="C25" s="44" t="s">
        <v>96</v>
      </c>
      <c r="D25" s="44" t="s">
        <v>36</v>
      </c>
      <c r="E25" s="47" t="s">
        <v>37</v>
      </c>
      <c r="F25" s="45">
        <v>35947</v>
      </c>
      <c r="G25" s="46" t="s">
        <v>47</v>
      </c>
      <c r="H25" s="45">
        <v>26344</v>
      </c>
      <c r="I25" s="48">
        <f t="shared" si="0"/>
        <v>48259</v>
      </c>
      <c r="J25" s="48"/>
      <c r="K25" s="84">
        <v>1</v>
      </c>
      <c r="L25" s="48"/>
      <c r="M25" s="5">
        <f t="shared" ca="1" si="1"/>
        <v>54.333333333333336</v>
      </c>
      <c r="N25" s="42" t="s">
        <v>39</v>
      </c>
      <c r="O25" s="43" t="s">
        <v>2</v>
      </c>
      <c r="P25" s="1" t="s">
        <v>40</v>
      </c>
      <c r="Q25" s="30" t="str">
        <f ca="1">IF(K25=1,IF(Paramètres!$E$9,IF(M25&lt;Paramètres!$B$13,Paramètres!$C$13,IF(M25&lt;Paramètres!$B$14,Paramètres!$C$14,IF(M25&lt;Paramètres!$B$15,Paramètres!$C$15,IF(M25&lt;Paramètres!$B$16,Paramètres!$C$16,IF(M25&lt;Paramètres!$B$17,Paramètres!$C$17,IF(M25&lt;Paramètres!$B$18,Paramètres!$C$18,IF(M25&lt;Paramètres!$B$19,Paramètres!$C$19,IF(M25&lt;Paramètres!$B$20,Paramètres!$C$20,IF(M25&lt;Paramètres!$B$21,Paramètres!$C$21,Paramètres!$C$22))))))))),M25),"")</f>
        <v>De 50 à 54 ans</v>
      </c>
      <c r="R25" s="1">
        <f t="shared" si="2"/>
        <v>1</v>
      </c>
      <c r="S25" s="31">
        <f t="shared" ca="1" si="3"/>
        <v>28.083333333333332</v>
      </c>
      <c r="T25" s="1" t="str">
        <f ca="1">IF(K25=1,IF(Paramètres!$E$25,IF(S25&lt;Paramètres!$B$29,Paramètres!$C$29,IF(S25&lt;Paramètres!$B$30,Paramètres!$C$30,IF(S25&lt;Paramètres!$B$31,Paramètres!$C$31,IF(S25&lt;Paramètres!$B$32,Paramètres!$C$32,IF(S25&lt;Paramètres!$B$33,Paramètres!$C$33,IF(S25&lt;Paramètres!$B$34,Paramètres!$C$34,IF(S25&lt;Paramètres!$B$35,Paramètres!$C$35,IF(S25&lt;Paramètres!$B$36,Paramètres!$C$36,IF(S25&lt;Paramètres!$B$37,Paramètres!$C$37,Paramètres!$C$38))))))))),[3]Données!P472),"")</f>
        <v>De 25 à 29 ans</v>
      </c>
    </row>
    <row r="26" spans="1:20" hidden="1" x14ac:dyDescent="0.25">
      <c r="A26" s="47">
        <v>458</v>
      </c>
      <c r="B26" s="47" t="s">
        <v>97</v>
      </c>
      <c r="C26" s="47" t="s">
        <v>46</v>
      </c>
      <c r="D26" s="47" t="s">
        <v>36</v>
      </c>
      <c r="E26" s="47" t="s">
        <v>37</v>
      </c>
      <c r="F26" s="48">
        <v>35947</v>
      </c>
      <c r="G26" s="49" t="s">
        <v>75</v>
      </c>
      <c r="H26" s="48">
        <v>26186</v>
      </c>
      <c r="I26" s="48">
        <f t="shared" si="0"/>
        <v>48101</v>
      </c>
      <c r="J26" s="48"/>
      <c r="K26" s="84">
        <v>1</v>
      </c>
      <c r="L26" s="48"/>
      <c r="M26" s="5">
        <f t="shared" ca="1" si="1"/>
        <v>54.75</v>
      </c>
      <c r="N26" s="43" t="s">
        <v>39</v>
      </c>
      <c r="O26" s="43" t="s">
        <v>2</v>
      </c>
      <c r="P26" s="1" t="s">
        <v>40</v>
      </c>
      <c r="Q26" s="30" t="str">
        <f ca="1">IF(K26=1,IF(Paramètres!$E$9,IF(M26&lt;Paramètres!$B$13,Paramètres!$C$13,IF(M26&lt;Paramètres!$B$14,Paramètres!$C$14,IF(M26&lt;Paramètres!$B$15,Paramètres!$C$15,IF(M26&lt;Paramètres!$B$16,Paramètres!$C$16,IF(M26&lt;Paramètres!$B$17,Paramètres!$C$17,IF(M26&lt;Paramètres!$B$18,Paramètres!$C$18,IF(M26&lt;Paramètres!$B$19,Paramètres!$C$19,IF(M26&lt;Paramètres!$B$20,Paramètres!$C$20,IF(M26&lt;Paramètres!$B$21,Paramètres!$C$21,Paramètres!$C$22))))))))),M26),"")</f>
        <v>De 50 à 54 ans</v>
      </c>
      <c r="R26" s="1">
        <f t="shared" si="2"/>
        <v>1</v>
      </c>
      <c r="S26" s="31">
        <f t="shared" ca="1" si="3"/>
        <v>28.083333333333332</v>
      </c>
      <c r="T26" s="1" t="str">
        <f ca="1">IF(K26=1,IF(Paramètres!$E$25,IF(S26&lt;Paramètres!$B$29,Paramètres!$C$29,IF(S26&lt;Paramètres!$B$30,Paramètres!$C$30,IF(S26&lt;Paramètres!$B$31,Paramètres!$C$31,IF(S26&lt;Paramètres!$B$32,Paramètres!$C$32,IF(S26&lt;Paramètres!$B$33,Paramètres!$C$33,IF(S26&lt;Paramètres!$B$34,Paramètres!$C$34,IF(S26&lt;Paramètres!$B$35,Paramètres!$C$35,IF(S26&lt;Paramètres!$B$36,Paramètres!$C$36,IF(S26&lt;Paramètres!$B$37,Paramètres!$C$37,Paramètres!$C$38))))))))),[3]Données!P473),"")</f>
        <v>De 25 à 29 ans</v>
      </c>
    </row>
    <row r="27" spans="1:20" hidden="1" x14ac:dyDescent="0.25">
      <c r="A27" s="44">
        <v>459</v>
      </c>
      <c r="B27" s="44" t="s">
        <v>98</v>
      </c>
      <c r="C27" s="44" t="s">
        <v>99</v>
      </c>
      <c r="D27" s="44" t="s">
        <v>36</v>
      </c>
      <c r="E27" s="47" t="s">
        <v>37</v>
      </c>
      <c r="F27" s="45">
        <v>35947</v>
      </c>
      <c r="G27" s="46" t="s">
        <v>100</v>
      </c>
      <c r="H27" s="45">
        <v>25913</v>
      </c>
      <c r="I27" s="48">
        <f t="shared" si="0"/>
        <v>47828</v>
      </c>
      <c r="J27" s="48"/>
      <c r="K27" s="84">
        <v>1</v>
      </c>
      <c r="L27" s="48"/>
      <c r="M27" s="5">
        <f t="shared" ca="1" si="1"/>
        <v>55.5</v>
      </c>
      <c r="N27" s="42" t="s">
        <v>39</v>
      </c>
      <c r="O27" s="43" t="s">
        <v>2</v>
      </c>
      <c r="P27" s="1" t="s">
        <v>40</v>
      </c>
      <c r="Q27" s="30" t="str">
        <f ca="1">IF(K27=1,IF(Paramètres!$E$9,IF(M27&lt;Paramètres!$B$13,Paramètres!$C$13,IF(M27&lt;Paramètres!$B$14,Paramètres!$C$14,IF(M27&lt;Paramètres!$B$15,Paramètres!$C$15,IF(M27&lt;Paramètres!$B$16,Paramètres!$C$16,IF(M27&lt;Paramètres!$B$17,Paramètres!$C$17,IF(M27&lt;Paramètres!$B$18,Paramètres!$C$18,IF(M27&lt;Paramètres!$B$19,Paramètres!$C$19,IF(M27&lt;Paramètres!$B$20,Paramètres!$C$20,IF(M27&lt;Paramètres!$B$21,Paramètres!$C$21,Paramètres!$C$22))))))))),M27),"")</f>
        <v>De 55 à 59 ans</v>
      </c>
      <c r="R27" s="1">
        <f t="shared" si="2"/>
        <v>1</v>
      </c>
      <c r="S27" s="31">
        <f t="shared" ca="1" si="3"/>
        <v>28.083333333333332</v>
      </c>
      <c r="T27" s="1" t="str">
        <f ca="1">IF(K27=1,IF(Paramètres!$E$25,IF(S27&lt;Paramètres!$B$29,Paramètres!$C$29,IF(S27&lt;Paramètres!$B$30,Paramètres!$C$30,IF(S27&lt;Paramètres!$B$31,Paramètres!$C$31,IF(S27&lt;Paramètres!$B$32,Paramètres!$C$32,IF(S27&lt;Paramètres!$B$33,Paramètres!$C$33,IF(S27&lt;Paramètres!$B$34,Paramètres!$C$34,IF(S27&lt;Paramètres!$B$35,Paramètres!$C$35,IF(S27&lt;Paramètres!$B$36,Paramètres!$C$36,IF(S27&lt;Paramètres!$B$37,Paramètres!$C$37,Paramètres!$C$38))))))))),[3]Données!P474),"")</f>
        <v>De 25 à 29 ans</v>
      </c>
    </row>
    <row r="28" spans="1:20" hidden="1" x14ac:dyDescent="0.25">
      <c r="A28" s="44">
        <v>462</v>
      </c>
      <c r="B28" s="44" t="s">
        <v>101</v>
      </c>
      <c r="C28" s="44" t="s">
        <v>42</v>
      </c>
      <c r="D28" s="44" t="s">
        <v>36</v>
      </c>
      <c r="E28" s="47" t="s">
        <v>37</v>
      </c>
      <c r="F28" s="45">
        <v>35947</v>
      </c>
      <c r="G28" s="46" t="s">
        <v>100</v>
      </c>
      <c r="H28" s="45">
        <v>26404</v>
      </c>
      <c r="I28" s="48">
        <f t="shared" si="0"/>
        <v>48319</v>
      </c>
      <c r="J28" s="48"/>
      <c r="K28" s="84">
        <v>1</v>
      </c>
      <c r="L28" s="48"/>
      <c r="M28" s="5">
        <f t="shared" ca="1" si="1"/>
        <v>54.166666666666664</v>
      </c>
      <c r="N28" s="42" t="s">
        <v>39</v>
      </c>
      <c r="O28" s="43" t="s">
        <v>2</v>
      </c>
      <c r="P28" s="1" t="s">
        <v>40</v>
      </c>
      <c r="Q28" s="30" t="str">
        <f ca="1">IF(K28=1,IF(Paramètres!$E$9,IF(M28&lt;Paramètres!$B$13,Paramètres!$C$13,IF(M28&lt;Paramètres!$B$14,Paramètres!$C$14,IF(M28&lt;Paramètres!$B$15,Paramètres!$C$15,IF(M28&lt;Paramètres!$B$16,Paramètres!$C$16,IF(M28&lt;Paramètres!$B$17,Paramètres!$C$17,IF(M28&lt;Paramètres!$B$18,Paramètres!$C$18,IF(M28&lt;Paramètres!$B$19,Paramètres!$C$19,IF(M28&lt;Paramètres!$B$20,Paramètres!$C$20,IF(M28&lt;Paramètres!$B$21,Paramètres!$C$21,Paramètres!$C$22))))))))),M28),"")</f>
        <v>De 50 à 54 ans</v>
      </c>
      <c r="R28" s="1">
        <f t="shared" si="2"/>
        <v>1</v>
      </c>
      <c r="S28" s="31">
        <f t="shared" ca="1" si="3"/>
        <v>28.083333333333332</v>
      </c>
      <c r="T28" s="1" t="str">
        <f ca="1">IF(K28=1,IF(Paramètres!$E$25,IF(S28&lt;Paramètres!$B$29,Paramètres!$C$29,IF(S28&lt;Paramètres!$B$30,Paramètres!$C$30,IF(S28&lt;Paramètres!$B$31,Paramètres!$C$31,IF(S28&lt;Paramètres!$B$32,Paramètres!$C$32,IF(S28&lt;Paramètres!$B$33,Paramètres!$C$33,IF(S28&lt;Paramètres!$B$34,Paramètres!$C$34,IF(S28&lt;Paramètres!$B$35,Paramètres!$C$35,IF(S28&lt;Paramètres!$B$36,Paramètres!$C$36,IF(S28&lt;Paramètres!$B$37,Paramètres!$C$37,Paramètres!$C$38))))))))),[3]Données!P475),"")</f>
        <v>De 25 à 29 ans</v>
      </c>
    </row>
    <row r="29" spans="1:20" hidden="1" x14ac:dyDescent="0.25">
      <c r="A29" s="47">
        <v>464</v>
      </c>
      <c r="B29" s="47" t="s">
        <v>102</v>
      </c>
      <c r="C29" s="47" t="s">
        <v>52</v>
      </c>
      <c r="D29" s="47" t="s">
        <v>36</v>
      </c>
      <c r="E29" s="47" t="s">
        <v>55</v>
      </c>
      <c r="F29" s="48">
        <v>35947</v>
      </c>
      <c r="G29" s="49" t="s">
        <v>103</v>
      </c>
      <c r="H29" s="48">
        <v>25361</v>
      </c>
      <c r="I29" s="48">
        <f t="shared" si="0"/>
        <v>47276</v>
      </c>
      <c r="J29" s="48"/>
      <c r="K29" s="84">
        <v>1</v>
      </c>
      <c r="L29" s="48"/>
      <c r="M29" s="5">
        <f t="shared" ca="1" si="1"/>
        <v>57.083333333333336</v>
      </c>
      <c r="N29" s="43" t="s">
        <v>39</v>
      </c>
      <c r="O29" s="43" t="s">
        <v>2</v>
      </c>
      <c r="P29" s="1" t="s">
        <v>40</v>
      </c>
      <c r="Q29" s="30" t="str">
        <f ca="1">IF(K29=1,IF(Paramètres!$E$9,IF(M29&lt;Paramètres!$B$13,Paramètres!$C$13,IF(M29&lt;Paramètres!$B$14,Paramètres!$C$14,IF(M29&lt;Paramètres!$B$15,Paramètres!$C$15,IF(M29&lt;Paramètres!$B$16,Paramètres!$C$16,IF(M29&lt;Paramètres!$B$17,Paramètres!$C$17,IF(M29&lt;Paramètres!$B$18,Paramètres!$C$18,IF(M29&lt;Paramètres!$B$19,Paramètres!$C$19,IF(M29&lt;Paramètres!$B$20,Paramètres!$C$20,IF(M29&lt;Paramètres!$B$21,Paramètres!$C$21,Paramètres!$C$22))))))))),M29),"")</f>
        <v>De 55 à 59 ans</v>
      </c>
      <c r="R29" s="1">
        <f t="shared" si="2"/>
        <v>1</v>
      </c>
      <c r="S29" s="31">
        <f t="shared" ca="1" si="3"/>
        <v>28.083333333333332</v>
      </c>
      <c r="T29" s="1" t="str">
        <f ca="1">IF(K29=1,IF(Paramètres!$E$25,IF(S29&lt;Paramètres!$B$29,Paramètres!$C$29,IF(S29&lt;Paramètres!$B$30,Paramètres!$C$30,IF(S29&lt;Paramètres!$B$31,Paramètres!$C$31,IF(S29&lt;Paramètres!$B$32,Paramètres!$C$32,IF(S29&lt;Paramètres!$B$33,Paramètres!$C$33,IF(S29&lt;Paramètres!$B$34,Paramètres!$C$34,IF(S29&lt;Paramètres!$B$35,Paramètres!$C$35,IF(S29&lt;Paramètres!$B$36,Paramètres!$C$36,IF(S29&lt;Paramètres!$B$37,Paramètres!$C$37,Paramètres!$C$38))))))))),[3]Données!P476),"")</f>
        <v>De 25 à 29 ans</v>
      </c>
    </row>
    <row r="30" spans="1:20" hidden="1" x14ac:dyDescent="0.25">
      <c r="A30" s="47">
        <v>466</v>
      </c>
      <c r="B30" s="47" t="s">
        <v>104</v>
      </c>
      <c r="C30" s="47" t="s">
        <v>79</v>
      </c>
      <c r="D30" s="47" t="s">
        <v>36</v>
      </c>
      <c r="E30" s="47" t="s">
        <v>37</v>
      </c>
      <c r="F30" s="48">
        <v>35996</v>
      </c>
      <c r="G30" s="49" t="s">
        <v>65</v>
      </c>
      <c r="H30" s="48">
        <v>27373</v>
      </c>
      <c r="I30" s="48">
        <f t="shared" si="0"/>
        <v>49288</v>
      </c>
      <c r="J30" s="48"/>
      <c r="K30" s="84">
        <v>1</v>
      </c>
      <c r="L30" s="48"/>
      <c r="M30" s="5">
        <f t="shared" ca="1" si="1"/>
        <v>51.5</v>
      </c>
      <c r="N30" s="43" t="s">
        <v>39</v>
      </c>
      <c r="O30" s="43" t="s">
        <v>2</v>
      </c>
      <c r="P30" s="1" t="s">
        <v>40</v>
      </c>
      <c r="Q30" s="30" t="str">
        <f ca="1">IF(K30=1,IF(Paramètres!$E$9,IF(M30&lt;Paramètres!$B$13,Paramètres!$C$13,IF(M30&lt;Paramètres!$B$14,Paramètres!$C$14,IF(M30&lt;Paramètres!$B$15,Paramètres!$C$15,IF(M30&lt;Paramètres!$B$16,Paramètres!$C$16,IF(M30&lt;Paramètres!$B$17,Paramètres!$C$17,IF(M30&lt;Paramètres!$B$18,Paramètres!$C$18,IF(M30&lt;Paramètres!$B$19,Paramètres!$C$19,IF(M30&lt;Paramètres!$B$20,Paramètres!$C$20,IF(M30&lt;Paramètres!$B$21,Paramètres!$C$21,Paramètres!$C$22))))))))),M30),"")</f>
        <v>De 50 à 54 ans</v>
      </c>
      <c r="R30" s="1">
        <f t="shared" si="2"/>
        <v>1</v>
      </c>
      <c r="S30" s="31">
        <f t="shared" ca="1" si="3"/>
        <v>27.916666666666668</v>
      </c>
      <c r="T30" s="1" t="str">
        <f ca="1">IF(K30=1,IF(Paramètres!$E$25,IF(S30&lt;Paramètres!$B$29,Paramètres!$C$29,IF(S30&lt;Paramètres!$B$30,Paramètres!$C$30,IF(S30&lt;Paramètres!$B$31,Paramètres!$C$31,IF(S30&lt;Paramètres!$B$32,Paramètres!$C$32,IF(S30&lt;Paramètres!$B$33,Paramètres!$C$33,IF(S30&lt;Paramètres!$B$34,Paramètres!$C$34,IF(S30&lt;Paramètres!$B$35,Paramètres!$C$35,IF(S30&lt;Paramètres!$B$36,Paramètres!$C$36,IF(S30&lt;Paramètres!$B$37,Paramètres!$C$37,Paramètres!$C$38))))))))),[3]Données!P477),"")</f>
        <v>De 25 à 29 ans</v>
      </c>
    </row>
    <row r="31" spans="1:20" hidden="1" x14ac:dyDescent="0.25">
      <c r="A31" s="44">
        <v>467</v>
      </c>
      <c r="B31" s="44" t="s">
        <v>105</v>
      </c>
      <c r="C31" s="44" t="s">
        <v>106</v>
      </c>
      <c r="D31" s="44" t="s">
        <v>36</v>
      </c>
      <c r="E31" s="47" t="s">
        <v>55</v>
      </c>
      <c r="F31" s="45">
        <v>35996</v>
      </c>
      <c r="G31" s="46" t="s">
        <v>50</v>
      </c>
      <c r="H31" s="45">
        <v>25617</v>
      </c>
      <c r="I31" s="48">
        <f t="shared" si="0"/>
        <v>47532</v>
      </c>
      <c r="J31" s="48"/>
      <c r="K31" s="84">
        <v>1</v>
      </c>
      <c r="L31" s="48"/>
      <c r="M31" s="5">
        <f t="shared" ca="1" si="1"/>
        <v>56.333333333333336</v>
      </c>
      <c r="N31" s="42" t="s">
        <v>39</v>
      </c>
      <c r="O31" s="43" t="s">
        <v>2</v>
      </c>
      <c r="P31" s="1" t="s">
        <v>40</v>
      </c>
      <c r="Q31" s="30" t="str">
        <f ca="1">IF(K31=1,IF(Paramètres!$E$9,IF(M31&lt;Paramètres!$B$13,Paramètres!$C$13,IF(M31&lt;Paramètres!$B$14,Paramètres!$C$14,IF(M31&lt;Paramètres!$B$15,Paramètres!$C$15,IF(M31&lt;Paramètres!$B$16,Paramètres!$C$16,IF(M31&lt;Paramètres!$B$17,Paramètres!$C$17,IF(M31&lt;Paramètres!$B$18,Paramètres!$C$18,IF(M31&lt;Paramètres!$B$19,Paramètres!$C$19,IF(M31&lt;Paramètres!$B$20,Paramètres!$C$20,IF(M31&lt;Paramètres!$B$21,Paramètres!$C$21,Paramètres!$C$22))))))))),M31),"")</f>
        <v>De 55 à 59 ans</v>
      </c>
      <c r="R31" s="1">
        <f t="shared" si="2"/>
        <v>1</v>
      </c>
      <c r="S31" s="31">
        <f t="shared" ca="1" si="3"/>
        <v>27.916666666666668</v>
      </c>
      <c r="T31" s="1" t="str">
        <f ca="1">IF(K31=1,IF(Paramètres!$E$25,IF(S31&lt;Paramètres!$B$29,Paramètres!$C$29,IF(S31&lt;Paramètres!$B$30,Paramètres!$C$30,IF(S31&lt;Paramètres!$B$31,Paramètres!$C$31,IF(S31&lt;Paramètres!$B$32,Paramètres!$C$32,IF(S31&lt;Paramètres!$B$33,Paramètres!$C$33,IF(S31&lt;Paramètres!$B$34,Paramètres!$C$34,IF(S31&lt;Paramètres!$B$35,Paramètres!$C$35,IF(S31&lt;Paramètres!$B$36,Paramètres!$C$36,IF(S31&lt;Paramètres!$B$37,Paramètres!$C$37,Paramètres!$C$38))))))))),[3]Données!P478),"")</f>
        <v>De 25 à 29 ans</v>
      </c>
    </row>
    <row r="32" spans="1:20" hidden="1" x14ac:dyDescent="0.25">
      <c r="A32" s="47">
        <v>468</v>
      </c>
      <c r="B32" s="47" t="s">
        <v>107</v>
      </c>
      <c r="C32" s="47" t="s">
        <v>108</v>
      </c>
      <c r="D32" s="47" t="s">
        <v>36</v>
      </c>
      <c r="E32" s="47" t="s">
        <v>55</v>
      </c>
      <c r="F32" s="48">
        <v>35996</v>
      </c>
      <c r="G32" s="49" t="s">
        <v>56</v>
      </c>
      <c r="H32" s="48">
        <v>24066</v>
      </c>
      <c r="I32" s="48">
        <f t="shared" si="0"/>
        <v>45981</v>
      </c>
      <c r="J32" s="48"/>
      <c r="K32" s="84">
        <v>1</v>
      </c>
      <c r="L32" s="48"/>
      <c r="M32" s="5">
        <f t="shared" ca="1" si="1"/>
        <v>60.583333333333336</v>
      </c>
      <c r="N32" s="43" t="s">
        <v>39</v>
      </c>
      <c r="O32" s="43" t="s">
        <v>2</v>
      </c>
      <c r="P32" s="1" t="s">
        <v>40</v>
      </c>
      <c r="Q32" s="30" t="str">
        <f ca="1">IF(K32=1,IF(Paramètres!$E$9,IF(M32&lt;Paramètres!$B$13,Paramètres!$C$13,IF(M32&lt;Paramètres!$B$14,Paramètres!$C$14,IF(M32&lt;Paramètres!$B$15,Paramètres!$C$15,IF(M32&lt;Paramètres!$B$16,Paramètres!$C$16,IF(M32&lt;Paramètres!$B$17,Paramètres!$C$17,IF(M32&lt;Paramètres!$B$18,Paramètres!$C$18,IF(M32&lt;Paramètres!$B$19,Paramètres!$C$19,IF(M32&lt;Paramètres!$B$20,Paramètres!$C$20,IF(M32&lt;Paramètres!$B$21,Paramètres!$C$21,Paramètres!$C$22))))))))),M32),"")</f>
        <v>De 60 à 64 ans</v>
      </c>
      <c r="R32" s="1">
        <f t="shared" si="2"/>
        <v>1</v>
      </c>
      <c r="S32" s="31">
        <f t="shared" ca="1" si="3"/>
        <v>27.916666666666668</v>
      </c>
      <c r="T32" s="1" t="str">
        <f ca="1">IF(K32=1,IF(Paramètres!$E$25,IF(S32&lt;Paramètres!$B$29,Paramètres!$C$29,IF(S32&lt;Paramètres!$B$30,Paramètres!$C$30,IF(S32&lt;Paramètres!$B$31,Paramètres!$C$31,IF(S32&lt;Paramètres!$B$32,Paramètres!$C$32,IF(S32&lt;Paramètres!$B$33,Paramètres!$C$33,IF(S32&lt;Paramètres!$B$34,Paramètres!$C$34,IF(S32&lt;Paramètres!$B$35,Paramètres!$C$35,IF(S32&lt;Paramètres!$B$36,Paramètres!$C$36,IF(S32&lt;Paramètres!$B$37,Paramètres!$C$37,Paramètres!$C$38))))))))),[3]Données!P479),"")</f>
        <v>De 25 à 29 ans</v>
      </c>
    </row>
    <row r="33" spans="1:20" hidden="1" x14ac:dyDescent="0.25">
      <c r="A33" s="44">
        <v>469</v>
      </c>
      <c r="B33" s="44" t="s">
        <v>107</v>
      </c>
      <c r="C33" s="44" t="s">
        <v>106</v>
      </c>
      <c r="D33" s="44" t="s">
        <v>36</v>
      </c>
      <c r="E33" s="47" t="s">
        <v>55</v>
      </c>
      <c r="F33" s="45">
        <v>35996</v>
      </c>
      <c r="G33" s="46" t="s">
        <v>56</v>
      </c>
      <c r="H33" s="45">
        <v>25246</v>
      </c>
      <c r="I33" s="48">
        <f t="shared" si="0"/>
        <v>47161</v>
      </c>
      <c r="J33" s="48"/>
      <c r="K33" s="84">
        <v>1</v>
      </c>
      <c r="L33" s="48"/>
      <c r="M33" s="5">
        <f t="shared" ca="1" si="1"/>
        <v>57.333333333333336</v>
      </c>
      <c r="N33" s="42" t="s">
        <v>39</v>
      </c>
      <c r="O33" s="43" t="s">
        <v>2</v>
      </c>
      <c r="P33" s="1" t="s">
        <v>40</v>
      </c>
      <c r="Q33" s="30" t="str">
        <f ca="1">IF(K33=1,IF(Paramètres!$E$9,IF(M33&lt;Paramètres!$B$13,Paramètres!$C$13,IF(M33&lt;Paramètres!$B$14,Paramètres!$C$14,IF(M33&lt;Paramètres!$B$15,Paramètres!$C$15,IF(M33&lt;Paramètres!$B$16,Paramètres!$C$16,IF(M33&lt;Paramètres!$B$17,Paramètres!$C$17,IF(M33&lt;Paramètres!$B$18,Paramètres!$C$18,IF(M33&lt;Paramètres!$B$19,Paramètres!$C$19,IF(M33&lt;Paramètres!$B$20,Paramètres!$C$20,IF(M33&lt;Paramètres!$B$21,Paramètres!$C$21,Paramètres!$C$22))))))))),M33),"")</f>
        <v>De 55 à 59 ans</v>
      </c>
      <c r="R33" s="1">
        <f t="shared" si="2"/>
        <v>1</v>
      </c>
      <c r="S33" s="31">
        <f t="shared" ca="1" si="3"/>
        <v>27.916666666666668</v>
      </c>
      <c r="T33" s="1" t="str">
        <f ca="1">IF(K33=1,IF(Paramètres!$E$25,IF(S33&lt;Paramètres!$B$29,Paramètres!$C$29,IF(S33&lt;Paramètres!$B$30,Paramètres!$C$30,IF(S33&lt;Paramètres!$B$31,Paramètres!$C$31,IF(S33&lt;Paramètres!$B$32,Paramètres!$C$32,IF(S33&lt;Paramètres!$B$33,Paramètres!$C$33,IF(S33&lt;Paramètres!$B$34,Paramètres!$C$34,IF(S33&lt;Paramètres!$B$35,Paramètres!$C$35,IF(S33&lt;Paramètres!$B$36,Paramètres!$C$36,IF(S33&lt;Paramètres!$B$37,Paramètres!$C$37,Paramètres!$C$38))))))))),[3]Données!P480),"")</f>
        <v>De 25 à 29 ans</v>
      </c>
    </row>
    <row r="34" spans="1:20" hidden="1" x14ac:dyDescent="0.25">
      <c r="A34" s="47">
        <v>470</v>
      </c>
      <c r="B34" s="47" t="s">
        <v>109</v>
      </c>
      <c r="C34" s="47" t="s">
        <v>110</v>
      </c>
      <c r="D34" s="47" t="s">
        <v>36</v>
      </c>
      <c r="E34" s="47" t="s">
        <v>55</v>
      </c>
      <c r="F34" s="48">
        <v>35996</v>
      </c>
      <c r="G34" s="49" t="s">
        <v>50</v>
      </c>
      <c r="H34" s="48">
        <v>26846</v>
      </c>
      <c r="I34" s="48">
        <f t="shared" ref="I34:I65" si="4">H34+(365.25*60)</f>
        <v>48761</v>
      </c>
      <c r="J34" s="48"/>
      <c r="K34" s="84">
        <v>1</v>
      </c>
      <c r="L34" s="48"/>
      <c r="M34" s="5">
        <f t="shared" ref="M34:M65" ca="1" si="5">K34*(DATEDIF(H34,TODAY(),"m")/12)</f>
        <v>53</v>
      </c>
      <c r="N34" s="43" t="s">
        <v>39</v>
      </c>
      <c r="O34" s="43" t="s">
        <v>2</v>
      </c>
      <c r="P34" s="1" t="s">
        <v>40</v>
      </c>
      <c r="Q34" s="30" t="str">
        <f ca="1">IF(K34=1,IF(Paramètres!$E$9,IF(M34&lt;Paramètres!$B$13,Paramètres!$C$13,IF(M34&lt;Paramètres!$B$14,Paramètres!$C$14,IF(M34&lt;Paramètres!$B$15,Paramètres!$C$15,IF(M34&lt;Paramètres!$B$16,Paramètres!$C$16,IF(M34&lt;Paramètres!$B$17,Paramètres!$C$17,IF(M34&lt;Paramètres!$B$18,Paramètres!$C$18,IF(M34&lt;Paramètres!$B$19,Paramètres!$C$19,IF(M34&lt;Paramètres!$B$20,Paramètres!$C$20,IF(M34&lt;Paramètres!$B$21,Paramètres!$C$21,Paramètres!$C$22))))))))),M34),"")</f>
        <v>De 50 à 54 ans</v>
      </c>
      <c r="R34" s="1">
        <f t="shared" ref="R34:R65" si="6">+IF(N34="Mr",1,2)</f>
        <v>1</v>
      </c>
      <c r="S34" s="31">
        <f t="shared" ca="1" si="3"/>
        <v>27.916666666666668</v>
      </c>
      <c r="T34" s="1" t="str">
        <f ca="1">IF(K34=1,IF(Paramètres!$E$25,IF(S34&lt;Paramètres!$B$29,Paramètres!$C$29,IF(S34&lt;Paramètres!$B$30,Paramètres!$C$30,IF(S34&lt;Paramètres!$B$31,Paramètres!$C$31,IF(S34&lt;Paramètres!$B$32,Paramètres!$C$32,IF(S34&lt;Paramètres!$B$33,Paramètres!$C$33,IF(S34&lt;Paramètres!$B$34,Paramètres!$C$34,IF(S34&lt;Paramètres!$B$35,Paramètres!$C$35,IF(S34&lt;Paramètres!$B$36,Paramètres!$C$36,IF(S34&lt;Paramètres!$B$37,Paramètres!$C$37,Paramètres!$C$38))))))))),[3]Données!P481),"")</f>
        <v>De 25 à 29 ans</v>
      </c>
    </row>
    <row r="35" spans="1:20" hidden="1" x14ac:dyDescent="0.25">
      <c r="A35" s="44">
        <v>471</v>
      </c>
      <c r="B35" s="44" t="s">
        <v>111</v>
      </c>
      <c r="C35" s="44" t="s">
        <v>99</v>
      </c>
      <c r="D35" s="44" t="s">
        <v>36</v>
      </c>
      <c r="E35" s="47" t="s">
        <v>37</v>
      </c>
      <c r="F35" s="45">
        <v>35996</v>
      </c>
      <c r="G35" s="46" t="s">
        <v>92</v>
      </c>
      <c r="H35" s="45">
        <v>28446</v>
      </c>
      <c r="I35" s="48">
        <f t="shared" si="4"/>
        <v>50361</v>
      </c>
      <c r="J35" s="48"/>
      <c r="K35" s="84">
        <v>1</v>
      </c>
      <c r="L35" s="48"/>
      <c r="M35" s="5">
        <f t="shared" ca="1" si="5"/>
        <v>48.583333333333336</v>
      </c>
      <c r="N35" s="42" t="s">
        <v>39</v>
      </c>
      <c r="O35" s="43" t="s">
        <v>2</v>
      </c>
      <c r="P35" s="1" t="s">
        <v>40</v>
      </c>
      <c r="Q35" s="30" t="str">
        <f ca="1">IF(K35=1,IF(Paramètres!$E$9,IF(M35&lt;Paramètres!$B$13,Paramètres!$C$13,IF(M35&lt;Paramètres!$B$14,Paramètres!$C$14,IF(M35&lt;Paramètres!$B$15,Paramètres!$C$15,IF(M35&lt;Paramètres!$B$16,Paramètres!$C$16,IF(M35&lt;Paramètres!$B$17,Paramètres!$C$17,IF(M35&lt;Paramètres!$B$18,Paramètres!$C$18,IF(M35&lt;Paramètres!$B$19,Paramètres!$C$19,IF(M35&lt;Paramètres!$B$20,Paramètres!$C$20,IF(M35&lt;Paramètres!$B$21,Paramètres!$C$21,Paramètres!$C$22))))))))),M35),"")</f>
        <v>De 45 à 49 ans</v>
      </c>
      <c r="R35" s="1">
        <f t="shared" si="6"/>
        <v>1</v>
      </c>
      <c r="S35" s="31">
        <f t="shared" ca="1" si="3"/>
        <v>27.916666666666668</v>
      </c>
      <c r="T35" s="1" t="str">
        <f ca="1">IF(K35=1,IF(Paramètres!$E$25,IF(S35&lt;Paramètres!$B$29,Paramètres!$C$29,IF(S35&lt;Paramètres!$B$30,Paramètres!$C$30,IF(S35&lt;Paramètres!$B$31,Paramètres!$C$31,IF(S35&lt;Paramètres!$B$32,Paramètres!$C$32,IF(S35&lt;Paramètres!$B$33,Paramètres!$C$33,IF(S35&lt;Paramètres!$B$34,Paramètres!$C$34,IF(S35&lt;Paramètres!$B$35,Paramètres!$C$35,IF(S35&lt;Paramètres!$B$36,Paramètres!$C$36,IF(S35&lt;Paramètres!$B$37,Paramètres!$C$37,Paramètres!$C$38))))))))),[3]Données!P482),"")</f>
        <v>De 25 à 29 ans</v>
      </c>
    </row>
    <row r="36" spans="1:20" hidden="1" x14ac:dyDescent="0.25">
      <c r="A36" s="47">
        <v>472</v>
      </c>
      <c r="B36" s="47" t="s">
        <v>112</v>
      </c>
      <c r="C36" s="47" t="s">
        <v>106</v>
      </c>
      <c r="D36" s="47" t="s">
        <v>36</v>
      </c>
      <c r="E36" s="47" t="s">
        <v>55</v>
      </c>
      <c r="F36" s="48">
        <v>35996</v>
      </c>
      <c r="G36" s="49" t="s">
        <v>50</v>
      </c>
      <c r="H36" s="48">
        <v>24869</v>
      </c>
      <c r="I36" s="48">
        <f t="shared" si="4"/>
        <v>46784</v>
      </c>
      <c r="J36" s="48"/>
      <c r="K36" s="84">
        <v>1</v>
      </c>
      <c r="L36" s="48"/>
      <c r="M36" s="5">
        <f t="shared" ca="1" si="5"/>
        <v>58.416666666666664</v>
      </c>
      <c r="N36" s="43" t="s">
        <v>39</v>
      </c>
      <c r="O36" s="43" t="s">
        <v>2</v>
      </c>
      <c r="P36" s="1" t="s">
        <v>40</v>
      </c>
      <c r="Q36" s="30" t="str">
        <f ca="1">IF(K36=1,IF(Paramètres!$E$9,IF(M36&lt;Paramètres!$B$13,Paramètres!$C$13,IF(M36&lt;Paramètres!$B$14,Paramètres!$C$14,IF(M36&lt;Paramètres!$B$15,Paramètres!$C$15,IF(M36&lt;Paramètres!$B$16,Paramètres!$C$16,IF(M36&lt;Paramètres!$B$17,Paramètres!$C$17,IF(M36&lt;Paramètres!$B$18,Paramètres!$C$18,IF(M36&lt;Paramètres!$B$19,Paramètres!$C$19,IF(M36&lt;Paramètres!$B$20,Paramètres!$C$20,IF(M36&lt;Paramètres!$B$21,Paramètres!$C$21,Paramètres!$C$22))))))))),M36),"")</f>
        <v>De 55 à 59 ans</v>
      </c>
      <c r="R36" s="1">
        <f t="shared" si="6"/>
        <v>1</v>
      </c>
      <c r="S36" s="31">
        <f t="shared" ca="1" si="3"/>
        <v>27.916666666666668</v>
      </c>
      <c r="T36" s="1" t="str">
        <f ca="1">IF(K36=1,IF(Paramètres!$E$25,IF(S36&lt;Paramètres!$B$29,Paramètres!$C$29,IF(S36&lt;Paramètres!$B$30,Paramètres!$C$30,IF(S36&lt;Paramètres!$B$31,Paramètres!$C$31,IF(S36&lt;Paramètres!$B$32,Paramètres!$C$32,IF(S36&lt;Paramètres!$B$33,Paramètres!$C$33,IF(S36&lt;Paramètres!$B$34,Paramètres!$C$34,IF(S36&lt;Paramètres!$B$35,Paramètres!$C$35,IF(S36&lt;Paramètres!$B$36,Paramètres!$C$36,IF(S36&lt;Paramètres!$B$37,Paramètres!$C$37,Paramètres!$C$38))))))))),[3]Données!P483),"")</f>
        <v>De 25 à 29 ans</v>
      </c>
    </row>
    <row r="37" spans="1:20" hidden="1" x14ac:dyDescent="0.25">
      <c r="A37" s="44">
        <v>473</v>
      </c>
      <c r="B37" s="44" t="s">
        <v>113</v>
      </c>
      <c r="C37" s="44" t="s">
        <v>106</v>
      </c>
      <c r="D37" s="44" t="s">
        <v>36</v>
      </c>
      <c r="E37" s="47" t="s">
        <v>37</v>
      </c>
      <c r="F37" s="45">
        <v>35996</v>
      </c>
      <c r="G37" s="46" t="s">
        <v>68</v>
      </c>
      <c r="H37" s="45">
        <v>24920</v>
      </c>
      <c r="I37" s="48">
        <f t="shared" si="4"/>
        <v>46835</v>
      </c>
      <c r="J37" s="48"/>
      <c r="K37" s="84">
        <v>1</v>
      </c>
      <c r="L37" s="48"/>
      <c r="M37" s="5">
        <f t="shared" ca="1" si="5"/>
        <v>58.25</v>
      </c>
      <c r="N37" s="42" t="s">
        <v>39</v>
      </c>
      <c r="O37" s="43" t="s">
        <v>2</v>
      </c>
      <c r="P37" s="1" t="s">
        <v>40</v>
      </c>
      <c r="Q37" s="30" t="str">
        <f ca="1">IF(K37=1,IF(Paramètres!$E$9,IF(M37&lt;Paramètres!$B$13,Paramètres!$C$13,IF(M37&lt;Paramètres!$B$14,Paramètres!$C$14,IF(M37&lt;Paramètres!$B$15,Paramètres!$C$15,IF(M37&lt;Paramètres!$B$16,Paramètres!$C$16,IF(M37&lt;Paramètres!$B$17,Paramètres!$C$17,IF(M37&lt;Paramètres!$B$18,Paramètres!$C$18,IF(M37&lt;Paramètres!$B$19,Paramètres!$C$19,IF(M37&lt;Paramètres!$B$20,Paramètres!$C$20,IF(M37&lt;Paramètres!$B$21,Paramètres!$C$21,Paramètres!$C$22))))))))),M37),"")</f>
        <v>De 55 à 59 ans</v>
      </c>
      <c r="R37" s="1">
        <f t="shared" si="6"/>
        <v>1</v>
      </c>
      <c r="S37" s="31">
        <f t="shared" ca="1" si="3"/>
        <v>27.916666666666668</v>
      </c>
      <c r="T37" s="1" t="str">
        <f ca="1">IF(K37=1,IF(Paramètres!$E$25,IF(S37&lt;Paramètres!$B$29,Paramètres!$C$29,IF(S37&lt;Paramètres!$B$30,Paramètres!$C$30,IF(S37&lt;Paramètres!$B$31,Paramètres!$C$31,IF(S37&lt;Paramètres!$B$32,Paramètres!$C$32,IF(S37&lt;Paramètres!$B$33,Paramètres!$C$33,IF(S37&lt;Paramètres!$B$34,Paramètres!$C$34,IF(S37&lt;Paramètres!$B$35,Paramètres!$C$35,IF(S37&lt;Paramètres!$B$36,Paramètres!$C$36,IF(S37&lt;Paramètres!$B$37,Paramètres!$C$37,Paramètres!$C$38))))))))),[3]Données!P484),"")</f>
        <v>De 25 à 29 ans</v>
      </c>
    </row>
    <row r="38" spans="1:20" hidden="1" x14ac:dyDescent="0.25">
      <c r="A38" s="47">
        <v>475</v>
      </c>
      <c r="B38" s="47" t="s">
        <v>114</v>
      </c>
      <c r="C38" s="47" t="s">
        <v>42</v>
      </c>
      <c r="D38" s="47" t="s">
        <v>36</v>
      </c>
      <c r="E38" s="47" t="s">
        <v>55</v>
      </c>
      <c r="F38" s="48">
        <v>35996</v>
      </c>
      <c r="G38" s="49" t="s">
        <v>53</v>
      </c>
      <c r="H38" s="48">
        <v>26480</v>
      </c>
      <c r="I38" s="48">
        <f t="shared" si="4"/>
        <v>48395</v>
      </c>
      <c r="J38" s="48"/>
      <c r="K38" s="84">
        <v>1</v>
      </c>
      <c r="L38" s="48"/>
      <c r="M38" s="5">
        <f t="shared" ca="1" si="5"/>
        <v>54</v>
      </c>
      <c r="N38" s="43" t="s">
        <v>39</v>
      </c>
      <c r="O38" s="43" t="s">
        <v>2</v>
      </c>
      <c r="P38" s="1" t="s">
        <v>40</v>
      </c>
      <c r="Q38" s="30" t="str">
        <f ca="1">IF(K38=1,IF(Paramètres!$E$9,IF(M38&lt;Paramètres!$B$13,Paramètres!$C$13,IF(M38&lt;Paramètres!$B$14,Paramètres!$C$14,IF(M38&lt;Paramètres!$B$15,Paramètres!$C$15,IF(M38&lt;Paramètres!$B$16,Paramètres!$C$16,IF(M38&lt;Paramètres!$B$17,Paramètres!$C$17,IF(M38&lt;Paramètres!$B$18,Paramètres!$C$18,IF(M38&lt;Paramètres!$B$19,Paramètres!$C$19,IF(M38&lt;Paramètres!$B$20,Paramètres!$C$20,IF(M38&lt;Paramètres!$B$21,Paramètres!$C$21,Paramètres!$C$22))))))))),M38),"")</f>
        <v>De 50 à 54 ans</v>
      </c>
      <c r="R38" s="1">
        <f t="shared" si="6"/>
        <v>1</v>
      </c>
      <c r="S38" s="31">
        <f t="shared" ca="1" si="3"/>
        <v>27.916666666666668</v>
      </c>
      <c r="T38" s="1" t="str">
        <f ca="1">IF(K38=1,IF(Paramètres!$E$25,IF(S38&lt;Paramètres!$B$29,Paramètres!$C$29,IF(S38&lt;Paramètres!$B$30,Paramètres!$C$30,IF(S38&lt;Paramètres!$B$31,Paramètres!$C$31,IF(S38&lt;Paramètres!$B$32,Paramètres!$C$32,IF(S38&lt;Paramètres!$B$33,Paramètres!$C$33,IF(S38&lt;Paramètres!$B$34,Paramètres!$C$34,IF(S38&lt;Paramètres!$B$35,Paramètres!$C$35,IF(S38&lt;Paramètres!$B$36,Paramètres!$C$36,IF(S38&lt;Paramètres!$B$37,Paramètres!$C$37,Paramètres!$C$38))))))))),[3]Données!P485),"")</f>
        <v>De 25 à 29 ans</v>
      </c>
    </row>
    <row r="39" spans="1:20" hidden="1" x14ac:dyDescent="0.25">
      <c r="A39" s="44">
        <v>476</v>
      </c>
      <c r="B39" s="44" t="s">
        <v>115</v>
      </c>
      <c r="C39" s="44" t="s">
        <v>42</v>
      </c>
      <c r="D39" s="44" t="s">
        <v>36</v>
      </c>
      <c r="E39" s="47" t="s">
        <v>55</v>
      </c>
      <c r="F39" s="45">
        <v>35996</v>
      </c>
      <c r="G39" s="46" t="s">
        <v>50</v>
      </c>
      <c r="H39" s="45">
        <v>27356</v>
      </c>
      <c r="I39" s="48">
        <f t="shared" si="4"/>
        <v>49271</v>
      </c>
      <c r="J39" s="48"/>
      <c r="K39" s="84">
        <v>1</v>
      </c>
      <c r="L39" s="48"/>
      <c r="M39" s="5">
        <f t="shared" ca="1" si="5"/>
        <v>51.583333333333336</v>
      </c>
      <c r="N39" s="42" t="s">
        <v>39</v>
      </c>
      <c r="O39" s="43" t="s">
        <v>2</v>
      </c>
      <c r="P39" s="1" t="s">
        <v>40</v>
      </c>
      <c r="Q39" s="30" t="str">
        <f ca="1">IF(K39=1,IF(Paramètres!$E$9,IF(M39&lt;Paramètres!$B$13,Paramètres!$C$13,IF(M39&lt;Paramètres!$B$14,Paramètres!$C$14,IF(M39&lt;Paramètres!$B$15,Paramètres!$C$15,IF(M39&lt;Paramètres!$B$16,Paramètres!$C$16,IF(M39&lt;Paramètres!$B$17,Paramètres!$C$17,IF(M39&lt;Paramètres!$B$18,Paramètres!$C$18,IF(M39&lt;Paramètres!$B$19,Paramètres!$C$19,IF(M39&lt;Paramètres!$B$20,Paramètres!$C$20,IF(M39&lt;Paramètres!$B$21,Paramètres!$C$21,Paramètres!$C$22))))))))),M39),"")</f>
        <v>De 50 à 54 ans</v>
      </c>
      <c r="R39" s="1">
        <f t="shared" si="6"/>
        <v>1</v>
      </c>
      <c r="S39" s="31">
        <f t="shared" ref="S39:S70" ca="1" si="7">K39*(DATEDIF(F39,TODAY(),"m")/12)</f>
        <v>27.916666666666668</v>
      </c>
      <c r="T39" s="1" t="str">
        <f ca="1">IF(K39=1,IF(Paramètres!$E$25,IF(S39&lt;Paramètres!$B$29,Paramètres!$C$29,IF(S39&lt;Paramètres!$B$30,Paramètres!$C$30,IF(S39&lt;Paramètres!$B$31,Paramètres!$C$31,IF(S39&lt;Paramètres!$B$32,Paramètres!$C$32,IF(S39&lt;Paramètres!$B$33,Paramètres!$C$33,IF(S39&lt;Paramètres!$B$34,Paramètres!$C$34,IF(S39&lt;Paramètres!$B$35,Paramètres!$C$35,IF(S39&lt;Paramètres!$B$36,Paramètres!$C$36,IF(S39&lt;Paramètres!$B$37,Paramètres!$C$37,Paramètres!$C$38))))))))),[3]Données!P486),"")</f>
        <v>De 25 à 29 ans</v>
      </c>
    </row>
    <row r="40" spans="1:20" hidden="1" x14ac:dyDescent="0.25">
      <c r="A40" s="47">
        <v>477</v>
      </c>
      <c r="B40" s="47" t="s">
        <v>116</v>
      </c>
      <c r="C40" s="47" t="s">
        <v>117</v>
      </c>
      <c r="D40" s="47" t="s">
        <v>36</v>
      </c>
      <c r="E40" s="47" t="s">
        <v>55</v>
      </c>
      <c r="F40" s="48">
        <v>35996</v>
      </c>
      <c r="G40" s="49" t="s">
        <v>50</v>
      </c>
      <c r="H40" s="48">
        <v>26554</v>
      </c>
      <c r="I40" s="48">
        <f t="shared" si="4"/>
        <v>48469</v>
      </c>
      <c r="J40" s="48"/>
      <c r="K40" s="84">
        <v>1</v>
      </c>
      <c r="L40" s="48"/>
      <c r="M40" s="5">
        <f t="shared" ca="1" si="5"/>
        <v>53.75</v>
      </c>
      <c r="N40" s="43" t="s">
        <v>39</v>
      </c>
      <c r="O40" s="43" t="s">
        <v>2</v>
      </c>
      <c r="P40" s="1" t="s">
        <v>40</v>
      </c>
      <c r="Q40" s="30" t="str">
        <f ca="1">IF(K40=1,IF(Paramètres!$E$9,IF(M40&lt;Paramètres!$B$13,Paramètres!$C$13,IF(M40&lt;Paramètres!$B$14,Paramètres!$C$14,IF(M40&lt;Paramètres!$B$15,Paramètres!$C$15,IF(M40&lt;Paramètres!$B$16,Paramètres!$C$16,IF(M40&lt;Paramètres!$B$17,Paramètres!$C$17,IF(M40&lt;Paramètres!$B$18,Paramètres!$C$18,IF(M40&lt;Paramètres!$B$19,Paramètres!$C$19,IF(M40&lt;Paramètres!$B$20,Paramètres!$C$20,IF(M40&lt;Paramètres!$B$21,Paramètres!$C$21,Paramètres!$C$22))))))))),M40),"")</f>
        <v>De 50 à 54 ans</v>
      </c>
      <c r="R40" s="1">
        <f t="shared" si="6"/>
        <v>1</v>
      </c>
      <c r="S40" s="31">
        <f t="shared" ca="1" si="7"/>
        <v>27.916666666666668</v>
      </c>
      <c r="T40" s="1" t="str">
        <f ca="1">IF(K40=1,IF(Paramètres!$E$25,IF(S40&lt;Paramètres!$B$29,Paramètres!$C$29,IF(S40&lt;Paramètres!$B$30,Paramètres!$C$30,IF(S40&lt;Paramètres!$B$31,Paramètres!$C$31,IF(S40&lt;Paramètres!$B$32,Paramètres!$C$32,IF(S40&lt;Paramètres!$B$33,Paramètres!$C$33,IF(S40&lt;Paramètres!$B$34,Paramètres!$C$34,IF(S40&lt;Paramètres!$B$35,Paramètres!$C$35,IF(S40&lt;Paramètres!$B$36,Paramètres!$C$36,IF(S40&lt;Paramètres!$B$37,Paramètres!$C$37,Paramètres!$C$38))))))))),[3]Données!P487),"")</f>
        <v>De 25 à 29 ans</v>
      </c>
    </row>
    <row r="41" spans="1:20" hidden="1" x14ac:dyDescent="0.25">
      <c r="A41" s="44">
        <v>479</v>
      </c>
      <c r="B41" s="44" t="s">
        <v>118</v>
      </c>
      <c r="C41" s="44" t="s">
        <v>119</v>
      </c>
      <c r="D41" s="44" t="s">
        <v>36</v>
      </c>
      <c r="E41" s="47" t="s">
        <v>55</v>
      </c>
      <c r="F41" s="45">
        <v>35996</v>
      </c>
      <c r="G41" s="46" t="s">
        <v>92</v>
      </c>
      <c r="H41" s="45">
        <v>26337</v>
      </c>
      <c r="I41" s="48">
        <f t="shared" si="4"/>
        <v>48252</v>
      </c>
      <c r="J41" s="48"/>
      <c r="K41" s="84">
        <v>1</v>
      </c>
      <c r="L41" s="48"/>
      <c r="M41" s="5">
        <f t="shared" ca="1" si="5"/>
        <v>54.333333333333336</v>
      </c>
      <c r="N41" s="42" t="s">
        <v>39</v>
      </c>
      <c r="O41" s="43" t="s">
        <v>2</v>
      </c>
      <c r="P41" s="1" t="s">
        <v>40</v>
      </c>
      <c r="Q41" s="30" t="str">
        <f ca="1">IF(K41=1,IF(Paramètres!$E$9,IF(M41&lt;Paramètres!$B$13,Paramètres!$C$13,IF(M41&lt;Paramètres!$B$14,Paramètres!$C$14,IF(M41&lt;Paramètres!$B$15,Paramètres!$C$15,IF(M41&lt;Paramètres!$B$16,Paramètres!$C$16,IF(M41&lt;Paramètres!$B$17,Paramètres!$C$17,IF(M41&lt;Paramètres!$B$18,Paramètres!$C$18,IF(M41&lt;Paramètres!$B$19,Paramètres!$C$19,IF(M41&lt;Paramètres!$B$20,Paramètres!$C$20,IF(M41&lt;Paramètres!$B$21,Paramètres!$C$21,Paramètres!$C$22))))))))),M41),"")</f>
        <v>De 50 à 54 ans</v>
      </c>
      <c r="R41" s="1">
        <f t="shared" si="6"/>
        <v>1</v>
      </c>
      <c r="S41" s="31">
        <f t="shared" ca="1" si="7"/>
        <v>27.916666666666668</v>
      </c>
      <c r="T41" s="1" t="str">
        <f ca="1">IF(K41=1,IF(Paramètres!$E$25,IF(S41&lt;Paramètres!$B$29,Paramètres!$C$29,IF(S41&lt;Paramètres!$B$30,Paramètres!$C$30,IF(S41&lt;Paramètres!$B$31,Paramètres!$C$31,IF(S41&lt;Paramètres!$B$32,Paramètres!$C$32,IF(S41&lt;Paramètres!$B$33,Paramètres!$C$33,IF(S41&lt;Paramètres!$B$34,Paramètres!$C$34,IF(S41&lt;Paramètres!$B$35,Paramètres!$C$35,IF(S41&lt;Paramètres!$B$36,Paramètres!$C$36,IF(S41&lt;Paramètres!$B$37,Paramètres!$C$37,Paramètres!$C$38))))))))),[3]Données!P488),"")</f>
        <v>De 25 à 29 ans</v>
      </c>
    </row>
    <row r="42" spans="1:20" hidden="1" x14ac:dyDescent="0.25">
      <c r="A42" s="47">
        <v>480</v>
      </c>
      <c r="B42" s="47" t="s">
        <v>120</v>
      </c>
      <c r="C42" s="47" t="s">
        <v>84</v>
      </c>
      <c r="D42" s="47" t="s">
        <v>36</v>
      </c>
      <c r="E42" s="47" t="s">
        <v>55</v>
      </c>
      <c r="F42" s="48">
        <v>35996</v>
      </c>
      <c r="G42" s="49" t="s">
        <v>50</v>
      </c>
      <c r="H42" s="48">
        <v>26849</v>
      </c>
      <c r="I42" s="48">
        <f t="shared" si="4"/>
        <v>48764</v>
      </c>
      <c r="J42" s="48"/>
      <c r="K42" s="84">
        <v>1</v>
      </c>
      <c r="L42" s="48"/>
      <c r="M42" s="5">
        <f t="shared" ca="1" si="5"/>
        <v>53</v>
      </c>
      <c r="N42" s="43" t="s">
        <v>39</v>
      </c>
      <c r="O42" s="43" t="s">
        <v>2</v>
      </c>
      <c r="P42" s="1" t="s">
        <v>40</v>
      </c>
      <c r="Q42" s="30" t="str">
        <f ca="1">IF(K42=1,IF(Paramètres!$E$9,IF(M42&lt;Paramètres!$B$13,Paramètres!$C$13,IF(M42&lt;Paramètres!$B$14,Paramètres!$C$14,IF(M42&lt;Paramètres!$B$15,Paramètres!$C$15,IF(M42&lt;Paramètres!$B$16,Paramètres!$C$16,IF(M42&lt;Paramètres!$B$17,Paramètres!$C$17,IF(M42&lt;Paramètres!$B$18,Paramètres!$C$18,IF(M42&lt;Paramètres!$B$19,Paramètres!$C$19,IF(M42&lt;Paramètres!$B$20,Paramètres!$C$20,IF(M42&lt;Paramètres!$B$21,Paramètres!$C$21,Paramètres!$C$22))))))))),M42),"")</f>
        <v>De 50 à 54 ans</v>
      </c>
      <c r="R42" s="1">
        <f t="shared" si="6"/>
        <v>1</v>
      </c>
      <c r="S42" s="31">
        <f t="shared" ca="1" si="7"/>
        <v>27.916666666666668</v>
      </c>
      <c r="T42" s="1" t="str">
        <f ca="1">IF(K42=1,IF(Paramètres!$E$25,IF(S42&lt;Paramètres!$B$29,Paramètres!$C$29,IF(S42&lt;Paramètres!$B$30,Paramètres!$C$30,IF(S42&lt;Paramètres!$B$31,Paramètres!$C$31,IF(S42&lt;Paramètres!$B$32,Paramètres!$C$32,IF(S42&lt;Paramètres!$B$33,Paramètres!$C$33,IF(S42&lt;Paramètres!$B$34,Paramètres!$C$34,IF(S42&lt;Paramètres!$B$35,Paramètres!$C$35,IF(S42&lt;Paramètres!$B$36,Paramètres!$C$36,IF(S42&lt;Paramètres!$B$37,Paramètres!$C$37,Paramètres!$C$38))))))))),[3]Données!P489),"")</f>
        <v>De 25 à 29 ans</v>
      </c>
    </row>
    <row r="43" spans="1:20" hidden="1" x14ac:dyDescent="0.25">
      <c r="A43" s="44">
        <v>484</v>
      </c>
      <c r="B43" s="44" t="s">
        <v>121</v>
      </c>
      <c r="C43" s="44" t="s">
        <v>42</v>
      </c>
      <c r="D43" s="44" t="s">
        <v>36</v>
      </c>
      <c r="E43" s="47" t="s">
        <v>55</v>
      </c>
      <c r="F43" s="45">
        <v>35996</v>
      </c>
      <c r="G43" s="46" t="s">
        <v>65</v>
      </c>
      <c r="H43" s="45">
        <v>27087</v>
      </c>
      <c r="I43" s="48">
        <f t="shared" si="4"/>
        <v>49002</v>
      </c>
      <c r="J43" s="48"/>
      <c r="K43" s="84">
        <v>1</v>
      </c>
      <c r="L43" s="48"/>
      <c r="M43" s="5">
        <f t="shared" ca="1" si="5"/>
        <v>52.333333333333336</v>
      </c>
      <c r="N43" s="42" t="s">
        <v>39</v>
      </c>
      <c r="O43" s="43" t="s">
        <v>2</v>
      </c>
      <c r="P43" s="1" t="s">
        <v>40</v>
      </c>
      <c r="Q43" s="30" t="str">
        <f ca="1">IF(K43=1,IF(Paramètres!$E$9,IF(M43&lt;Paramètres!$B$13,Paramètres!$C$13,IF(M43&lt;Paramètres!$B$14,Paramètres!$C$14,IF(M43&lt;Paramètres!$B$15,Paramètres!$C$15,IF(M43&lt;Paramètres!$B$16,Paramètres!$C$16,IF(M43&lt;Paramètres!$B$17,Paramètres!$C$17,IF(M43&lt;Paramètres!$B$18,Paramètres!$C$18,IF(M43&lt;Paramètres!$B$19,Paramètres!$C$19,IF(M43&lt;Paramètres!$B$20,Paramètres!$C$20,IF(M43&lt;Paramètres!$B$21,Paramètres!$C$21,Paramètres!$C$22))))))))),M43),"")</f>
        <v>De 50 à 54 ans</v>
      </c>
      <c r="R43" s="1">
        <f t="shared" si="6"/>
        <v>1</v>
      </c>
      <c r="S43" s="31">
        <f t="shared" ca="1" si="7"/>
        <v>27.916666666666668</v>
      </c>
      <c r="T43" s="1" t="str">
        <f ca="1">IF(K43=1,IF(Paramètres!$E$25,IF(S43&lt;Paramètres!$B$29,Paramètres!$C$29,IF(S43&lt;Paramètres!$B$30,Paramètres!$C$30,IF(S43&lt;Paramètres!$B$31,Paramètres!$C$31,IF(S43&lt;Paramètres!$B$32,Paramètres!$C$32,IF(S43&lt;Paramètres!$B$33,Paramètres!$C$33,IF(S43&lt;Paramètres!$B$34,Paramètres!$C$34,IF(S43&lt;Paramètres!$B$35,Paramètres!$C$35,IF(S43&lt;Paramètres!$B$36,Paramètres!$C$36,IF(S43&lt;Paramètres!$B$37,Paramètres!$C$37,Paramètres!$C$38))))))))),[3]Données!P490),"")</f>
        <v>De 25 à 29 ans</v>
      </c>
    </row>
    <row r="44" spans="1:20" hidden="1" x14ac:dyDescent="0.25">
      <c r="A44" s="47">
        <v>485</v>
      </c>
      <c r="B44" s="47" t="s">
        <v>122</v>
      </c>
      <c r="C44" s="47" t="s">
        <v>123</v>
      </c>
      <c r="D44" s="47" t="s">
        <v>36</v>
      </c>
      <c r="E44" s="47" t="s">
        <v>55</v>
      </c>
      <c r="F44" s="48">
        <v>35996</v>
      </c>
      <c r="G44" s="49" t="s">
        <v>50</v>
      </c>
      <c r="H44" s="48">
        <v>24958</v>
      </c>
      <c r="I44" s="48">
        <f t="shared" si="4"/>
        <v>46873</v>
      </c>
      <c r="J44" s="48"/>
      <c r="K44" s="84">
        <v>1</v>
      </c>
      <c r="L44" s="48"/>
      <c r="M44" s="5">
        <f t="shared" ca="1" si="5"/>
        <v>58.166666666666664</v>
      </c>
      <c r="N44" s="43" t="s">
        <v>39</v>
      </c>
      <c r="O44" s="43" t="s">
        <v>2</v>
      </c>
      <c r="P44" s="1" t="s">
        <v>40</v>
      </c>
      <c r="Q44" s="30" t="str">
        <f ca="1">IF(K44=1,IF(Paramètres!$E$9,IF(M44&lt;Paramètres!$B$13,Paramètres!$C$13,IF(M44&lt;Paramètres!$B$14,Paramètres!$C$14,IF(M44&lt;Paramètres!$B$15,Paramètres!$C$15,IF(M44&lt;Paramètres!$B$16,Paramètres!$C$16,IF(M44&lt;Paramètres!$B$17,Paramètres!$C$17,IF(M44&lt;Paramètres!$B$18,Paramètres!$C$18,IF(M44&lt;Paramètres!$B$19,Paramètres!$C$19,IF(M44&lt;Paramètres!$B$20,Paramètres!$C$20,IF(M44&lt;Paramètres!$B$21,Paramètres!$C$21,Paramètres!$C$22))))))))),M44),"")</f>
        <v>De 55 à 59 ans</v>
      </c>
      <c r="R44" s="1">
        <f t="shared" si="6"/>
        <v>1</v>
      </c>
      <c r="S44" s="31">
        <f t="shared" ca="1" si="7"/>
        <v>27.916666666666668</v>
      </c>
      <c r="T44" s="1" t="str">
        <f ca="1">IF(K44=1,IF(Paramètres!$E$25,IF(S44&lt;Paramètres!$B$29,Paramètres!$C$29,IF(S44&lt;Paramètres!$B$30,Paramètres!$C$30,IF(S44&lt;Paramètres!$B$31,Paramètres!$C$31,IF(S44&lt;Paramètres!$B$32,Paramètres!$C$32,IF(S44&lt;Paramètres!$B$33,Paramètres!$C$33,IF(S44&lt;Paramètres!$B$34,Paramètres!$C$34,IF(S44&lt;Paramètres!$B$35,Paramètres!$C$35,IF(S44&lt;Paramètres!$B$36,Paramètres!$C$36,IF(S44&lt;Paramètres!$B$37,Paramètres!$C$37,Paramètres!$C$38))))))))),[3]Données!P491),"")</f>
        <v>De 25 à 29 ans</v>
      </c>
    </row>
    <row r="45" spans="1:20" hidden="1" x14ac:dyDescent="0.25">
      <c r="A45" s="44">
        <v>487</v>
      </c>
      <c r="B45" s="44" t="s">
        <v>124</v>
      </c>
      <c r="C45" s="44" t="s">
        <v>125</v>
      </c>
      <c r="D45" s="44" t="s">
        <v>36</v>
      </c>
      <c r="E45" s="47" t="s">
        <v>55</v>
      </c>
      <c r="F45" s="45">
        <v>35996</v>
      </c>
      <c r="G45" s="46" t="s">
        <v>50</v>
      </c>
      <c r="H45" s="45">
        <v>25019</v>
      </c>
      <c r="I45" s="48">
        <f t="shared" si="4"/>
        <v>46934</v>
      </c>
      <c r="J45" s="48"/>
      <c r="K45" s="84">
        <v>1</v>
      </c>
      <c r="L45" s="48"/>
      <c r="M45" s="5">
        <f t="shared" ca="1" si="5"/>
        <v>58</v>
      </c>
      <c r="N45" s="42" t="s">
        <v>39</v>
      </c>
      <c r="O45" s="43" t="s">
        <v>2</v>
      </c>
      <c r="P45" s="1" t="s">
        <v>40</v>
      </c>
      <c r="Q45" s="30" t="str">
        <f ca="1">IF(K45=1,IF(Paramètres!$E$9,IF(M45&lt;Paramètres!$B$13,Paramètres!$C$13,IF(M45&lt;Paramètres!$B$14,Paramètres!$C$14,IF(M45&lt;Paramètres!$B$15,Paramètres!$C$15,IF(M45&lt;Paramètres!$B$16,Paramètres!$C$16,IF(M45&lt;Paramètres!$B$17,Paramètres!$C$17,IF(M45&lt;Paramètres!$B$18,Paramètres!$C$18,IF(M45&lt;Paramètres!$B$19,Paramètres!$C$19,IF(M45&lt;Paramètres!$B$20,Paramètres!$C$20,IF(M45&lt;Paramètres!$B$21,Paramètres!$C$21,Paramètres!$C$22))))))))),M45),"")</f>
        <v>De 55 à 59 ans</v>
      </c>
      <c r="R45" s="1">
        <f t="shared" si="6"/>
        <v>1</v>
      </c>
      <c r="S45" s="31">
        <f t="shared" ca="1" si="7"/>
        <v>27.916666666666668</v>
      </c>
      <c r="T45" s="1" t="str">
        <f ca="1">IF(K45=1,IF(Paramètres!$E$25,IF(S45&lt;Paramètres!$B$29,Paramètres!$C$29,IF(S45&lt;Paramètres!$B$30,Paramètres!$C$30,IF(S45&lt;Paramètres!$B$31,Paramètres!$C$31,IF(S45&lt;Paramètres!$B$32,Paramètres!$C$32,IF(S45&lt;Paramètres!$B$33,Paramètres!$C$33,IF(S45&lt;Paramètres!$B$34,Paramètres!$C$34,IF(S45&lt;Paramètres!$B$35,Paramètres!$C$35,IF(S45&lt;Paramètres!$B$36,Paramètres!$C$36,IF(S45&lt;Paramètres!$B$37,Paramètres!$C$37,Paramètres!$C$38))))))))),[3]Données!P492),"")</f>
        <v>De 25 à 29 ans</v>
      </c>
    </row>
    <row r="46" spans="1:20" hidden="1" x14ac:dyDescent="0.25">
      <c r="A46" s="47">
        <v>490</v>
      </c>
      <c r="B46" s="47" t="s">
        <v>126</v>
      </c>
      <c r="C46" s="47" t="s">
        <v>127</v>
      </c>
      <c r="D46" s="47" t="s">
        <v>36</v>
      </c>
      <c r="E46" s="47" t="s">
        <v>55</v>
      </c>
      <c r="F46" s="48">
        <v>35996</v>
      </c>
      <c r="G46" s="49" t="s">
        <v>82</v>
      </c>
      <c r="H46" s="48">
        <v>27529</v>
      </c>
      <c r="I46" s="48">
        <f t="shared" si="4"/>
        <v>49444</v>
      </c>
      <c r="J46" s="48"/>
      <c r="K46" s="84">
        <v>1</v>
      </c>
      <c r="L46" s="48"/>
      <c r="M46" s="5">
        <f t="shared" ca="1" si="5"/>
        <v>51.083333333333336</v>
      </c>
      <c r="N46" s="43" t="s">
        <v>39</v>
      </c>
      <c r="O46" s="43" t="s">
        <v>2</v>
      </c>
      <c r="P46" s="1" t="s">
        <v>40</v>
      </c>
      <c r="Q46" s="30" t="str">
        <f ca="1">IF(K46=1,IF(Paramètres!$E$9,IF(M46&lt;Paramètres!$B$13,Paramètres!$C$13,IF(M46&lt;Paramètres!$B$14,Paramètres!$C$14,IF(M46&lt;Paramètres!$B$15,Paramètres!$C$15,IF(M46&lt;Paramètres!$B$16,Paramètres!$C$16,IF(M46&lt;Paramètres!$B$17,Paramètres!$C$17,IF(M46&lt;Paramètres!$B$18,Paramètres!$C$18,IF(M46&lt;Paramètres!$B$19,Paramètres!$C$19,IF(M46&lt;Paramètres!$B$20,Paramètres!$C$20,IF(M46&lt;Paramètres!$B$21,Paramètres!$C$21,Paramètres!$C$22))))))))),M46),"")</f>
        <v>De 50 à 54 ans</v>
      </c>
      <c r="R46" s="1">
        <f t="shared" si="6"/>
        <v>1</v>
      </c>
      <c r="S46" s="31">
        <f t="shared" ca="1" si="7"/>
        <v>27.916666666666668</v>
      </c>
      <c r="T46" s="1" t="str">
        <f ca="1">IF(K46=1,IF(Paramètres!$E$25,IF(S46&lt;Paramètres!$B$29,Paramètres!$C$29,IF(S46&lt;Paramètres!$B$30,Paramètres!$C$30,IF(S46&lt;Paramètres!$B$31,Paramètres!$C$31,IF(S46&lt;Paramètres!$B$32,Paramètres!$C$32,IF(S46&lt;Paramètres!$B$33,Paramètres!$C$33,IF(S46&lt;Paramètres!$B$34,Paramètres!$C$34,IF(S46&lt;Paramètres!$B$35,Paramètres!$C$35,IF(S46&lt;Paramètres!$B$36,Paramètres!$C$36,IF(S46&lt;Paramètres!$B$37,Paramètres!$C$37,Paramètres!$C$38))))))))),[3]Données!P493),"")</f>
        <v>De 25 à 29 ans</v>
      </c>
    </row>
    <row r="47" spans="1:20" x14ac:dyDescent="0.25">
      <c r="A47" s="44">
        <v>491</v>
      </c>
      <c r="B47" s="44" t="s">
        <v>128</v>
      </c>
      <c r="C47" s="44" t="s">
        <v>49</v>
      </c>
      <c r="D47" s="44" t="s">
        <v>36</v>
      </c>
      <c r="E47" s="47" t="s">
        <v>55</v>
      </c>
      <c r="F47" s="45">
        <v>35996</v>
      </c>
      <c r="G47" s="46" t="s">
        <v>50</v>
      </c>
      <c r="H47" s="45">
        <v>23903</v>
      </c>
      <c r="I47" s="48">
        <f t="shared" si="4"/>
        <v>45818</v>
      </c>
      <c r="J47" s="48">
        <v>45818</v>
      </c>
      <c r="K47" s="84">
        <v>0</v>
      </c>
      <c r="L47" s="48" t="s">
        <v>44</v>
      </c>
      <c r="M47" s="5">
        <f t="shared" ca="1" si="5"/>
        <v>0</v>
      </c>
      <c r="N47" s="42" t="s">
        <v>39</v>
      </c>
      <c r="O47" s="42"/>
      <c r="P47" s="1" t="s">
        <v>40</v>
      </c>
      <c r="Q47" s="30" t="str">
        <f>IF(K47=1,IF(Paramètres!$E$9,IF(M47&lt;Paramètres!$B$13,Paramètres!$C$13,IF(M47&lt;Paramètres!$B$14,Paramètres!$C$14,IF(M47&lt;Paramètres!$B$15,Paramètres!$C$15,IF(M47&lt;Paramètres!$B$16,Paramètres!$C$16,IF(M47&lt;Paramètres!$B$17,Paramètres!$C$17,IF(M47&lt;Paramètres!$B$18,Paramètres!$C$18,IF(M47&lt;Paramètres!$B$19,Paramètres!$C$19,IF(M47&lt;Paramètres!$B$20,Paramètres!$C$20,IF(M47&lt;Paramètres!$B$21,Paramètres!$C$21,Paramètres!$C$22))))))))),M47),"")</f>
        <v/>
      </c>
      <c r="R47" s="1">
        <f t="shared" si="6"/>
        <v>1</v>
      </c>
      <c r="S47" s="31">
        <f t="shared" ca="1" si="7"/>
        <v>0</v>
      </c>
      <c r="T47" s="1" t="str">
        <f>IF(K47=1,IF(Paramètres!$E$25,IF(S47&lt;Paramètres!$B$29,Paramètres!$C$29,IF(S47&lt;Paramètres!$B$30,Paramètres!$C$30,IF(S47&lt;Paramètres!$B$31,Paramètres!$C$31,IF(S47&lt;Paramètres!$B$32,Paramètres!$C$32,IF(S47&lt;Paramètres!$B$33,Paramètres!$C$33,IF(S47&lt;Paramètres!$B$34,Paramètres!$C$34,IF(S47&lt;Paramètres!$B$35,Paramètres!$C$35,IF(S47&lt;Paramètres!$B$36,Paramètres!$C$36,IF(S47&lt;Paramètres!$B$37,Paramètres!$C$37,Paramètres!$C$38))))))))),[3]Données!P604),"")</f>
        <v/>
      </c>
    </row>
    <row r="48" spans="1:20" hidden="1" x14ac:dyDescent="0.25">
      <c r="A48" s="47">
        <v>492</v>
      </c>
      <c r="B48" s="47" t="s">
        <v>129</v>
      </c>
      <c r="C48" s="47" t="s">
        <v>58</v>
      </c>
      <c r="D48" s="47" t="s">
        <v>36</v>
      </c>
      <c r="E48" s="47" t="s">
        <v>37</v>
      </c>
      <c r="F48" s="48">
        <v>35996</v>
      </c>
      <c r="G48" s="49" t="s">
        <v>82</v>
      </c>
      <c r="H48" s="48">
        <v>27837</v>
      </c>
      <c r="I48" s="48">
        <f t="shared" si="4"/>
        <v>49752</v>
      </c>
      <c r="J48" s="48"/>
      <c r="K48" s="84">
        <v>1</v>
      </c>
      <c r="L48" s="48"/>
      <c r="M48" s="5">
        <f t="shared" ca="1" si="5"/>
        <v>50.25</v>
      </c>
      <c r="N48" s="43" t="s">
        <v>39</v>
      </c>
      <c r="O48" s="43" t="s">
        <v>2</v>
      </c>
      <c r="P48" s="1" t="s">
        <v>40</v>
      </c>
      <c r="Q48" s="30" t="str">
        <f ca="1">IF(K48=1,IF(Paramètres!$E$9,IF(M48&lt;Paramètres!$B$13,Paramètres!$C$13,IF(M48&lt;Paramètres!$B$14,Paramètres!$C$14,IF(M48&lt;Paramètres!$B$15,Paramètres!$C$15,IF(M48&lt;Paramètres!$B$16,Paramètres!$C$16,IF(M48&lt;Paramètres!$B$17,Paramètres!$C$17,IF(M48&lt;Paramètres!$B$18,Paramètres!$C$18,IF(M48&lt;Paramètres!$B$19,Paramètres!$C$19,IF(M48&lt;Paramètres!$B$20,Paramètres!$C$20,IF(M48&lt;Paramètres!$B$21,Paramètres!$C$21,Paramètres!$C$22))))))))),M48),"")</f>
        <v>De 50 à 54 ans</v>
      </c>
      <c r="R48" s="1">
        <f t="shared" si="6"/>
        <v>1</v>
      </c>
      <c r="S48" s="31">
        <f t="shared" ca="1" si="7"/>
        <v>27.916666666666668</v>
      </c>
      <c r="T48" s="1" t="str">
        <f ca="1">IF(K48=1,IF(Paramètres!$E$25,IF(S48&lt;Paramètres!$B$29,Paramètres!$C$29,IF(S48&lt;Paramètres!$B$30,Paramètres!$C$30,IF(S48&lt;Paramètres!$B$31,Paramètres!$C$31,IF(S48&lt;Paramètres!$B$32,Paramètres!$C$32,IF(S48&lt;Paramètres!$B$33,Paramètres!$C$33,IF(S48&lt;Paramètres!$B$34,Paramètres!$C$34,IF(S48&lt;Paramètres!$B$35,Paramètres!$C$35,IF(S48&lt;Paramètres!$B$36,Paramètres!$C$36,IF(S48&lt;Paramètres!$B$37,Paramètres!$C$37,Paramètres!$C$38))))))))),[3]Données!P494),"")</f>
        <v>De 25 à 29 ans</v>
      </c>
    </row>
    <row r="49" spans="1:20" hidden="1" x14ac:dyDescent="0.25">
      <c r="A49" s="44">
        <v>493</v>
      </c>
      <c r="B49" s="44" t="s">
        <v>130</v>
      </c>
      <c r="C49" s="44" t="s">
        <v>96</v>
      </c>
      <c r="D49" s="44" t="s">
        <v>36</v>
      </c>
      <c r="E49" s="47" t="s">
        <v>37</v>
      </c>
      <c r="F49" s="45">
        <v>35996</v>
      </c>
      <c r="G49" s="46" t="s">
        <v>131</v>
      </c>
      <c r="H49" s="45">
        <v>26048</v>
      </c>
      <c r="I49" s="48">
        <f t="shared" si="4"/>
        <v>47963</v>
      </c>
      <c r="J49" s="48"/>
      <c r="K49" s="84">
        <v>1</v>
      </c>
      <c r="L49" s="48"/>
      <c r="M49" s="5">
        <f t="shared" ca="1" si="5"/>
        <v>55.166666666666664</v>
      </c>
      <c r="N49" s="42" t="s">
        <v>39</v>
      </c>
      <c r="O49" s="43" t="s">
        <v>2</v>
      </c>
      <c r="P49" s="1" t="s">
        <v>40</v>
      </c>
      <c r="Q49" s="30" t="str">
        <f ca="1">IF(K49=1,IF(Paramètres!$E$9,IF(M49&lt;Paramètres!$B$13,Paramètres!$C$13,IF(M49&lt;Paramètres!$B$14,Paramètres!$C$14,IF(M49&lt;Paramètres!$B$15,Paramètres!$C$15,IF(M49&lt;Paramètres!$B$16,Paramètres!$C$16,IF(M49&lt;Paramètres!$B$17,Paramètres!$C$17,IF(M49&lt;Paramètres!$B$18,Paramètres!$C$18,IF(M49&lt;Paramètres!$B$19,Paramètres!$C$19,IF(M49&lt;Paramètres!$B$20,Paramètres!$C$20,IF(M49&lt;Paramètres!$B$21,Paramètres!$C$21,Paramètres!$C$22))))))))),M49),"")</f>
        <v>De 55 à 59 ans</v>
      </c>
      <c r="R49" s="1">
        <f t="shared" si="6"/>
        <v>1</v>
      </c>
      <c r="S49" s="31">
        <f t="shared" ca="1" si="7"/>
        <v>27.916666666666668</v>
      </c>
      <c r="T49" s="1" t="str">
        <f ca="1">IF(K49=1,IF(Paramètres!$E$25,IF(S49&lt;Paramètres!$B$29,Paramètres!$C$29,IF(S49&lt;Paramètres!$B$30,Paramètres!$C$30,IF(S49&lt;Paramètres!$B$31,Paramètres!$C$31,IF(S49&lt;Paramètres!$B$32,Paramètres!$C$32,IF(S49&lt;Paramètres!$B$33,Paramètres!$C$33,IF(S49&lt;Paramètres!$B$34,Paramètres!$C$34,IF(S49&lt;Paramètres!$B$35,Paramètres!$C$35,IF(S49&lt;Paramètres!$B$36,Paramètres!$C$36,IF(S49&lt;Paramètres!$B$37,Paramètres!$C$37,Paramètres!$C$38))))))))),[3]Données!P495),"")</f>
        <v>De 25 à 29 ans</v>
      </c>
    </row>
    <row r="50" spans="1:20" hidden="1" x14ac:dyDescent="0.25">
      <c r="A50" s="47">
        <v>494</v>
      </c>
      <c r="B50" s="47" t="s">
        <v>132</v>
      </c>
      <c r="C50" s="47" t="s">
        <v>133</v>
      </c>
      <c r="D50" s="47" t="s">
        <v>36</v>
      </c>
      <c r="E50" s="47" t="s">
        <v>55</v>
      </c>
      <c r="F50" s="48">
        <v>35996</v>
      </c>
      <c r="G50" s="49" t="s">
        <v>56</v>
      </c>
      <c r="H50" s="48">
        <v>26872</v>
      </c>
      <c r="I50" s="48">
        <f t="shared" si="4"/>
        <v>48787</v>
      </c>
      <c r="J50" s="48"/>
      <c r="K50" s="84">
        <v>1</v>
      </c>
      <c r="L50" s="48"/>
      <c r="M50" s="5">
        <f t="shared" ca="1" si="5"/>
        <v>52.916666666666664</v>
      </c>
      <c r="N50" s="43" t="s">
        <v>39</v>
      </c>
      <c r="O50" s="43" t="s">
        <v>2</v>
      </c>
      <c r="P50" s="1" t="s">
        <v>40</v>
      </c>
      <c r="Q50" s="30" t="str">
        <f ca="1">IF(K50=1,IF(Paramètres!$E$9,IF(M50&lt;Paramètres!$B$13,Paramètres!$C$13,IF(M50&lt;Paramètres!$B$14,Paramètres!$C$14,IF(M50&lt;Paramètres!$B$15,Paramètres!$C$15,IF(M50&lt;Paramètres!$B$16,Paramètres!$C$16,IF(M50&lt;Paramètres!$B$17,Paramètres!$C$17,IF(M50&lt;Paramètres!$B$18,Paramètres!$C$18,IF(M50&lt;Paramètres!$B$19,Paramètres!$C$19,IF(M50&lt;Paramètres!$B$20,Paramètres!$C$20,IF(M50&lt;Paramètres!$B$21,Paramètres!$C$21,Paramètres!$C$22))))))))),M50),"")</f>
        <v>De 50 à 54 ans</v>
      </c>
      <c r="R50" s="1">
        <f t="shared" si="6"/>
        <v>1</v>
      </c>
      <c r="S50" s="31">
        <f t="shared" ca="1" si="7"/>
        <v>27.916666666666668</v>
      </c>
      <c r="T50" s="1" t="str">
        <f ca="1">IF(K50=1,IF(Paramètres!$E$25,IF(S50&lt;Paramètres!$B$29,Paramètres!$C$29,IF(S50&lt;Paramètres!$B$30,Paramètres!$C$30,IF(S50&lt;Paramètres!$B$31,Paramètres!$C$31,IF(S50&lt;Paramètres!$B$32,Paramètres!$C$32,IF(S50&lt;Paramètres!$B$33,Paramètres!$C$33,IF(S50&lt;Paramètres!$B$34,Paramètres!$C$34,IF(S50&lt;Paramètres!$B$35,Paramètres!$C$35,IF(S50&lt;Paramètres!$B$36,Paramètres!$C$36,IF(S50&lt;Paramètres!$B$37,Paramètres!$C$37,Paramètres!$C$38))))))))),[3]Données!P496),"")</f>
        <v>De 25 à 29 ans</v>
      </c>
    </row>
    <row r="51" spans="1:20" hidden="1" x14ac:dyDescent="0.25">
      <c r="A51" s="44">
        <v>495</v>
      </c>
      <c r="B51" s="44" t="s">
        <v>134</v>
      </c>
      <c r="C51" s="44" t="s">
        <v>42</v>
      </c>
      <c r="D51" s="44" t="s">
        <v>36</v>
      </c>
      <c r="E51" s="47" t="s">
        <v>37</v>
      </c>
      <c r="F51" s="45">
        <v>35996</v>
      </c>
      <c r="G51" s="46" t="s">
        <v>82</v>
      </c>
      <c r="H51" s="45">
        <v>27305</v>
      </c>
      <c r="I51" s="48">
        <f t="shared" si="4"/>
        <v>49220</v>
      </c>
      <c r="J51" s="48"/>
      <c r="K51" s="84">
        <v>1</v>
      </c>
      <c r="L51" s="48"/>
      <c r="M51" s="5">
        <f t="shared" ca="1" si="5"/>
        <v>51.75</v>
      </c>
      <c r="N51" s="42" t="s">
        <v>39</v>
      </c>
      <c r="O51" s="43" t="s">
        <v>2</v>
      </c>
      <c r="P51" s="1" t="s">
        <v>40</v>
      </c>
      <c r="Q51" s="30" t="str">
        <f ca="1">IF(K51=1,IF(Paramètres!$E$9,IF(M51&lt;Paramètres!$B$13,Paramètres!$C$13,IF(M51&lt;Paramètres!$B$14,Paramètres!$C$14,IF(M51&lt;Paramètres!$B$15,Paramètres!$C$15,IF(M51&lt;Paramètres!$B$16,Paramètres!$C$16,IF(M51&lt;Paramètres!$B$17,Paramètres!$C$17,IF(M51&lt;Paramètres!$B$18,Paramètres!$C$18,IF(M51&lt;Paramètres!$B$19,Paramètres!$C$19,IF(M51&lt;Paramètres!$B$20,Paramètres!$C$20,IF(M51&lt;Paramètres!$B$21,Paramètres!$C$21,Paramètres!$C$22))))))))),M51),"")</f>
        <v>De 50 à 54 ans</v>
      </c>
      <c r="R51" s="1">
        <f t="shared" si="6"/>
        <v>1</v>
      </c>
      <c r="S51" s="31">
        <f t="shared" ca="1" si="7"/>
        <v>27.916666666666668</v>
      </c>
      <c r="T51" s="1" t="str">
        <f ca="1">IF(K51=1,IF(Paramètres!$E$25,IF(S51&lt;Paramètres!$B$29,Paramètres!$C$29,IF(S51&lt;Paramètres!$B$30,Paramètres!$C$30,IF(S51&lt;Paramètres!$B$31,Paramètres!$C$31,IF(S51&lt;Paramètres!$B$32,Paramètres!$C$32,IF(S51&lt;Paramètres!$B$33,Paramètres!$C$33,IF(S51&lt;Paramètres!$B$34,Paramètres!$C$34,IF(S51&lt;Paramètres!$B$35,Paramètres!$C$35,IF(S51&lt;Paramètres!$B$36,Paramètres!$C$36,IF(S51&lt;Paramètres!$B$37,Paramètres!$C$37,Paramètres!$C$38))))))))),[3]Données!P497),"")</f>
        <v>De 25 à 29 ans</v>
      </c>
    </row>
    <row r="52" spans="1:20" hidden="1" x14ac:dyDescent="0.25">
      <c r="A52" s="47">
        <v>496</v>
      </c>
      <c r="B52" s="47" t="s">
        <v>135</v>
      </c>
      <c r="C52" s="47" t="s">
        <v>136</v>
      </c>
      <c r="D52" s="47" t="s">
        <v>36</v>
      </c>
      <c r="E52" s="47" t="s">
        <v>37</v>
      </c>
      <c r="F52" s="48">
        <v>35996</v>
      </c>
      <c r="G52" s="49" t="s">
        <v>75</v>
      </c>
      <c r="H52" s="48">
        <v>26177</v>
      </c>
      <c r="I52" s="48">
        <f t="shared" si="4"/>
        <v>48092</v>
      </c>
      <c r="J52" s="48"/>
      <c r="K52" s="84">
        <v>1</v>
      </c>
      <c r="L52" s="48"/>
      <c r="M52" s="5">
        <f t="shared" ca="1" si="5"/>
        <v>54.833333333333336</v>
      </c>
      <c r="N52" s="43" t="s">
        <v>39</v>
      </c>
      <c r="O52" s="43" t="s">
        <v>2</v>
      </c>
      <c r="P52" s="1" t="s">
        <v>40</v>
      </c>
      <c r="Q52" s="30" t="str">
        <f ca="1">IF(K52=1,IF(Paramètres!$E$9,IF(M52&lt;Paramètres!$B$13,Paramètres!$C$13,IF(M52&lt;Paramètres!$B$14,Paramètres!$C$14,IF(M52&lt;Paramètres!$B$15,Paramètres!$C$15,IF(M52&lt;Paramètres!$B$16,Paramètres!$C$16,IF(M52&lt;Paramètres!$B$17,Paramètres!$C$17,IF(M52&lt;Paramètres!$B$18,Paramètres!$C$18,IF(M52&lt;Paramètres!$B$19,Paramètres!$C$19,IF(M52&lt;Paramètres!$B$20,Paramètres!$C$20,IF(M52&lt;Paramètres!$B$21,Paramètres!$C$21,Paramètres!$C$22))))))))),M52),"")</f>
        <v>De 50 à 54 ans</v>
      </c>
      <c r="R52" s="1">
        <f t="shared" si="6"/>
        <v>1</v>
      </c>
      <c r="S52" s="31">
        <f t="shared" ca="1" si="7"/>
        <v>27.916666666666668</v>
      </c>
      <c r="T52" s="1" t="str">
        <f ca="1">IF(K52=1,IF(Paramètres!$E$25,IF(S52&lt;Paramètres!$B$29,Paramètres!$C$29,IF(S52&lt;Paramètres!$B$30,Paramètres!$C$30,IF(S52&lt;Paramètres!$B$31,Paramètres!$C$31,IF(S52&lt;Paramètres!$B$32,Paramètres!$C$32,IF(S52&lt;Paramètres!$B$33,Paramètres!$C$33,IF(S52&lt;Paramètres!$B$34,Paramètres!$C$34,IF(S52&lt;Paramètres!$B$35,Paramètres!$C$35,IF(S52&lt;Paramètres!$B$36,Paramètres!$C$36,IF(S52&lt;Paramètres!$B$37,Paramètres!$C$37,Paramètres!$C$38))))))))),[3]Données!P498),"")</f>
        <v>De 25 à 29 ans</v>
      </c>
    </row>
    <row r="53" spans="1:20" hidden="1" x14ac:dyDescent="0.25">
      <c r="A53" s="44">
        <v>497</v>
      </c>
      <c r="B53" s="44" t="s">
        <v>137</v>
      </c>
      <c r="C53" s="44" t="s">
        <v>138</v>
      </c>
      <c r="D53" s="44" t="s">
        <v>36</v>
      </c>
      <c r="E53" s="47" t="s">
        <v>55</v>
      </c>
      <c r="F53" s="45">
        <v>35996</v>
      </c>
      <c r="G53" s="46" t="s">
        <v>53</v>
      </c>
      <c r="H53" s="45">
        <v>26361</v>
      </c>
      <c r="I53" s="48">
        <f t="shared" si="4"/>
        <v>48276</v>
      </c>
      <c r="J53" s="48"/>
      <c r="K53" s="84">
        <v>1</v>
      </c>
      <c r="L53" s="48"/>
      <c r="M53" s="5">
        <f t="shared" ca="1" si="5"/>
        <v>54.333333333333336</v>
      </c>
      <c r="N53" s="42" t="s">
        <v>39</v>
      </c>
      <c r="O53" s="43" t="s">
        <v>2</v>
      </c>
      <c r="P53" s="1" t="s">
        <v>40</v>
      </c>
      <c r="Q53" s="30" t="str">
        <f ca="1">IF(K53=1,IF(Paramètres!$E$9,IF(M53&lt;Paramètres!$B$13,Paramètres!$C$13,IF(M53&lt;Paramètres!$B$14,Paramètres!$C$14,IF(M53&lt;Paramètres!$B$15,Paramètres!$C$15,IF(M53&lt;Paramètres!$B$16,Paramètres!$C$16,IF(M53&lt;Paramètres!$B$17,Paramètres!$C$17,IF(M53&lt;Paramètres!$B$18,Paramètres!$C$18,IF(M53&lt;Paramètres!$B$19,Paramètres!$C$19,IF(M53&lt;Paramètres!$B$20,Paramètres!$C$20,IF(M53&lt;Paramètres!$B$21,Paramètres!$C$21,Paramètres!$C$22))))))))),M53),"")</f>
        <v>De 50 à 54 ans</v>
      </c>
      <c r="R53" s="1">
        <f t="shared" si="6"/>
        <v>1</v>
      </c>
      <c r="S53" s="31">
        <f t="shared" ca="1" si="7"/>
        <v>27.916666666666668</v>
      </c>
      <c r="T53" s="1" t="str">
        <f ca="1">IF(K53=1,IF(Paramètres!$E$25,IF(S53&lt;Paramètres!$B$29,Paramètres!$C$29,IF(S53&lt;Paramètres!$B$30,Paramètres!$C$30,IF(S53&lt;Paramètres!$B$31,Paramètres!$C$31,IF(S53&lt;Paramètres!$B$32,Paramètres!$C$32,IF(S53&lt;Paramètres!$B$33,Paramètres!$C$33,IF(S53&lt;Paramètres!$B$34,Paramètres!$C$34,IF(S53&lt;Paramètres!$B$35,Paramètres!$C$35,IF(S53&lt;Paramètres!$B$36,Paramètres!$C$36,IF(S53&lt;Paramètres!$B$37,Paramètres!$C$37,Paramètres!$C$38))))))))),[3]Données!P499),"")</f>
        <v>De 25 à 29 ans</v>
      </c>
    </row>
    <row r="54" spans="1:20" hidden="1" x14ac:dyDescent="0.25">
      <c r="A54" s="47">
        <v>498</v>
      </c>
      <c r="B54" s="47" t="s">
        <v>139</v>
      </c>
      <c r="C54" s="47" t="s">
        <v>140</v>
      </c>
      <c r="D54" s="47" t="s">
        <v>36</v>
      </c>
      <c r="E54" s="47" t="s">
        <v>55</v>
      </c>
      <c r="F54" s="48">
        <v>35996</v>
      </c>
      <c r="G54" s="49" t="s">
        <v>65</v>
      </c>
      <c r="H54" s="48">
        <v>25749</v>
      </c>
      <c r="I54" s="48">
        <f t="shared" si="4"/>
        <v>47664</v>
      </c>
      <c r="J54" s="48"/>
      <c r="K54" s="84">
        <v>1</v>
      </c>
      <c r="L54" s="48"/>
      <c r="M54" s="5">
        <f t="shared" ca="1" si="5"/>
        <v>56</v>
      </c>
      <c r="N54" s="43" t="s">
        <v>39</v>
      </c>
      <c r="O54" s="43" t="s">
        <v>2</v>
      </c>
      <c r="P54" s="1" t="s">
        <v>40</v>
      </c>
      <c r="Q54" s="30" t="str">
        <f ca="1">IF(K54=1,IF(Paramètres!$E$9,IF(M54&lt;Paramètres!$B$13,Paramètres!$C$13,IF(M54&lt;Paramètres!$B$14,Paramètres!$C$14,IF(M54&lt;Paramètres!$B$15,Paramètres!$C$15,IF(M54&lt;Paramètres!$B$16,Paramètres!$C$16,IF(M54&lt;Paramètres!$B$17,Paramètres!$C$17,IF(M54&lt;Paramètres!$B$18,Paramètres!$C$18,IF(M54&lt;Paramètres!$B$19,Paramètres!$C$19,IF(M54&lt;Paramètres!$B$20,Paramètres!$C$20,IF(M54&lt;Paramètres!$B$21,Paramètres!$C$21,Paramètres!$C$22))))))))),M54),"")</f>
        <v>De 55 à 59 ans</v>
      </c>
      <c r="R54" s="1">
        <f t="shared" si="6"/>
        <v>1</v>
      </c>
      <c r="S54" s="31">
        <f t="shared" ca="1" si="7"/>
        <v>27.916666666666668</v>
      </c>
      <c r="T54" s="1" t="str">
        <f ca="1">IF(K54=1,IF(Paramètres!$E$25,IF(S54&lt;Paramètres!$B$29,Paramètres!$C$29,IF(S54&lt;Paramètres!$B$30,Paramètres!$C$30,IF(S54&lt;Paramètres!$B$31,Paramètres!$C$31,IF(S54&lt;Paramètres!$B$32,Paramètres!$C$32,IF(S54&lt;Paramètres!$B$33,Paramètres!$C$33,IF(S54&lt;Paramètres!$B$34,Paramètres!$C$34,IF(S54&lt;Paramètres!$B$35,Paramètres!$C$35,IF(S54&lt;Paramètres!$B$36,Paramètres!$C$36,IF(S54&lt;Paramètres!$B$37,Paramètres!$C$37,Paramètres!$C$38))))))))),[3]Données!P500),"")</f>
        <v>De 25 à 29 ans</v>
      </c>
    </row>
    <row r="55" spans="1:20" x14ac:dyDescent="0.25">
      <c r="A55" s="44">
        <v>499</v>
      </c>
      <c r="B55" s="44" t="s">
        <v>141</v>
      </c>
      <c r="C55" s="44" t="s">
        <v>81</v>
      </c>
      <c r="D55" s="44" t="s">
        <v>36</v>
      </c>
      <c r="E55" s="47" t="s">
        <v>55</v>
      </c>
      <c r="F55" s="45">
        <v>35997</v>
      </c>
      <c r="G55" s="46" t="s">
        <v>82</v>
      </c>
      <c r="H55" s="45">
        <v>26602</v>
      </c>
      <c r="I55" s="48">
        <f t="shared" si="4"/>
        <v>48517</v>
      </c>
      <c r="J55" s="48">
        <v>45870</v>
      </c>
      <c r="K55" s="84">
        <v>0</v>
      </c>
      <c r="L55" s="48" t="s">
        <v>142</v>
      </c>
      <c r="M55" s="5">
        <f t="shared" ca="1" si="5"/>
        <v>0</v>
      </c>
      <c r="N55" s="42" t="s">
        <v>39</v>
      </c>
      <c r="O55" s="42"/>
      <c r="P55" s="1" t="s">
        <v>40</v>
      </c>
      <c r="Q55" s="30" t="str">
        <f>IF(K55=1,IF(Paramètres!$E$9,IF(M55&lt;Paramètres!$B$13,Paramètres!$C$13,IF(M55&lt;Paramètres!$B$14,Paramètres!$C$14,IF(M55&lt;Paramètres!$B$15,Paramètres!$C$15,IF(M55&lt;Paramètres!$B$16,Paramètres!$C$16,IF(M55&lt;Paramètres!$B$17,Paramètres!$C$17,IF(M55&lt;Paramètres!$B$18,Paramètres!$C$18,IF(M55&lt;Paramètres!$B$19,Paramètres!$C$19,IF(M55&lt;Paramètres!$B$20,Paramètres!$C$20,IF(M55&lt;Paramètres!$B$21,Paramètres!$C$21,Paramètres!$C$22))))))))),M55),"")</f>
        <v/>
      </c>
      <c r="R55" s="1">
        <f t="shared" si="6"/>
        <v>1</v>
      </c>
      <c r="S55" s="31">
        <f t="shared" ca="1" si="7"/>
        <v>0</v>
      </c>
      <c r="T55" s="1" t="str">
        <f>IF(K55=1,IF(Paramètres!$E$25,IF(S55&lt;Paramètres!$B$29,Paramètres!$C$29,IF(S55&lt;Paramètres!$B$30,Paramètres!$C$30,IF(S55&lt;Paramètres!$B$31,Paramètres!$C$31,IF(S55&lt;Paramètres!$B$32,Paramètres!$C$32,IF(S55&lt;Paramètres!$B$33,Paramètres!$C$33,IF(S55&lt;Paramètres!$B$34,Paramètres!$C$34,IF(S55&lt;Paramètres!$B$35,Paramètres!$C$35,IF(S55&lt;Paramètres!$B$36,Paramètres!$C$36,IF(S55&lt;Paramètres!$B$37,Paramètres!$C$37,Paramètres!$C$38))))))))),[3]Données!P605),"")</f>
        <v/>
      </c>
    </row>
    <row r="56" spans="1:20" hidden="1" x14ac:dyDescent="0.25">
      <c r="A56" s="44">
        <v>504</v>
      </c>
      <c r="B56" s="44" t="s">
        <v>143</v>
      </c>
      <c r="C56" s="44" t="s">
        <v>144</v>
      </c>
      <c r="D56" s="44" t="s">
        <v>36</v>
      </c>
      <c r="E56" s="47" t="s">
        <v>55</v>
      </c>
      <c r="F56" s="45">
        <v>36039</v>
      </c>
      <c r="G56" s="46" t="s">
        <v>56</v>
      </c>
      <c r="H56" s="45">
        <v>24416</v>
      </c>
      <c r="I56" s="48">
        <f t="shared" si="4"/>
        <v>46331</v>
      </c>
      <c r="J56" s="48"/>
      <c r="K56" s="84">
        <v>1</v>
      </c>
      <c r="L56" s="48"/>
      <c r="M56" s="5">
        <f t="shared" ca="1" si="5"/>
        <v>59.666666666666664</v>
      </c>
      <c r="N56" s="42" t="s">
        <v>39</v>
      </c>
      <c r="O56" s="43" t="s">
        <v>2</v>
      </c>
      <c r="P56" s="1" t="s">
        <v>40</v>
      </c>
      <c r="Q56" s="30" t="str">
        <f ca="1">IF(K56=1,IF(Paramètres!$E$9,IF(M56&lt;Paramètres!$B$13,Paramètres!$C$13,IF(M56&lt;Paramètres!$B$14,Paramètres!$C$14,IF(M56&lt;Paramètres!$B$15,Paramètres!$C$15,IF(M56&lt;Paramètres!$B$16,Paramètres!$C$16,IF(M56&lt;Paramètres!$B$17,Paramètres!$C$17,IF(M56&lt;Paramètres!$B$18,Paramètres!$C$18,IF(M56&lt;Paramètres!$B$19,Paramètres!$C$19,IF(M56&lt;Paramètres!$B$20,Paramètres!$C$20,IF(M56&lt;Paramètres!$B$21,Paramètres!$C$21,Paramètres!$C$22))))))))),M56),"")</f>
        <v>De 55 à 59 ans</v>
      </c>
      <c r="R56" s="1">
        <f t="shared" si="6"/>
        <v>1</v>
      </c>
      <c r="S56" s="31">
        <f t="shared" ca="1" si="7"/>
        <v>27.833333333333332</v>
      </c>
      <c r="T56" s="1" t="str">
        <f ca="1">IF(K56=1,IF(Paramètres!$E$25,IF(S56&lt;Paramètres!$B$29,Paramètres!$C$29,IF(S56&lt;Paramètres!$B$30,Paramètres!$C$30,IF(S56&lt;Paramètres!$B$31,Paramètres!$C$31,IF(S56&lt;Paramètres!$B$32,Paramètres!$C$32,IF(S56&lt;Paramètres!$B$33,Paramètres!$C$33,IF(S56&lt;Paramètres!$B$34,Paramètres!$C$34,IF(S56&lt;Paramètres!$B$35,Paramètres!$C$35,IF(S56&lt;Paramètres!$B$36,Paramètres!$C$36,IF(S56&lt;Paramètres!$B$37,Paramètres!$C$37,Paramètres!$C$38))))))))),[3]Données!P501),"")</f>
        <v>De 25 à 29 ans</v>
      </c>
    </row>
    <row r="57" spans="1:20" hidden="1" x14ac:dyDescent="0.25">
      <c r="A57" s="47">
        <v>505</v>
      </c>
      <c r="B57" s="47" t="s">
        <v>145</v>
      </c>
      <c r="C57" s="47" t="s">
        <v>64</v>
      </c>
      <c r="D57" s="47" t="s">
        <v>36</v>
      </c>
      <c r="E57" s="47" t="s">
        <v>55</v>
      </c>
      <c r="F57" s="48">
        <v>36039</v>
      </c>
      <c r="G57" s="49" t="s">
        <v>146</v>
      </c>
      <c r="H57" s="48">
        <v>26114</v>
      </c>
      <c r="I57" s="48">
        <f t="shared" si="4"/>
        <v>48029</v>
      </c>
      <c r="J57" s="48"/>
      <c r="K57" s="84">
        <v>1</v>
      </c>
      <c r="L57" s="48"/>
      <c r="M57" s="5">
        <f t="shared" ca="1" si="5"/>
        <v>55</v>
      </c>
      <c r="N57" s="43" t="s">
        <v>39</v>
      </c>
      <c r="O57" s="43" t="s">
        <v>2</v>
      </c>
      <c r="P57" s="1" t="s">
        <v>40</v>
      </c>
      <c r="Q57" s="30" t="str">
        <f ca="1">IF(K57=1,IF(Paramètres!$E$9,IF(M57&lt;Paramètres!$B$13,Paramètres!$C$13,IF(M57&lt;Paramètres!$B$14,Paramètres!$C$14,IF(M57&lt;Paramètres!$B$15,Paramètres!$C$15,IF(M57&lt;Paramètres!$B$16,Paramètres!$C$16,IF(M57&lt;Paramètres!$B$17,Paramètres!$C$17,IF(M57&lt;Paramètres!$B$18,Paramètres!$C$18,IF(M57&lt;Paramètres!$B$19,Paramètres!$C$19,IF(M57&lt;Paramètres!$B$20,Paramètres!$C$20,IF(M57&lt;Paramètres!$B$21,Paramètres!$C$21,Paramètres!$C$22))))))))),M57),"")</f>
        <v>De 55 à 59 ans</v>
      </c>
      <c r="R57" s="1">
        <f t="shared" si="6"/>
        <v>1</v>
      </c>
      <c r="S57" s="31">
        <f t="shared" ca="1" si="7"/>
        <v>27.833333333333332</v>
      </c>
      <c r="T57" s="1" t="str">
        <f ca="1">IF(K57=1,IF(Paramètres!$E$25,IF(S57&lt;Paramètres!$B$29,Paramètres!$C$29,IF(S57&lt;Paramètres!$B$30,Paramètres!$C$30,IF(S57&lt;Paramètres!$B$31,Paramètres!$C$31,IF(S57&lt;Paramètres!$B$32,Paramètres!$C$32,IF(S57&lt;Paramètres!$B$33,Paramètres!$C$33,IF(S57&lt;Paramètres!$B$34,Paramètres!$C$34,IF(S57&lt;Paramètres!$B$35,Paramètres!$C$35,IF(S57&lt;Paramètres!$B$36,Paramètres!$C$36,IF(S57&lt;Paramètres!$B$37,Paramètres!$C$37,Paramètres!$C$38))))))))),[3]Données!P502),"")</f>
        <v>De 25 à 29 ans</v>
      </c>
    </row>
    <row r="58" spans="1:20" hidden="1" x14ac:dyDescent="0.25">
      <c r="A58" s="44">
        <v>507</v>
      </c>
      <c r="B58" s="44" t="s">
        <v>147</v>
      </c>
      <c r="C58" s="44" t="s">
        <v>106</v>
      </c>
      <c r="D58" s="44" t="s">
        <v>36</v>
      </c>
      <c r="E58" s="47" t="s">
        <v>55</v>
      </c>
      <c r="F58" s="45">
        <v>36039</v>
      </c>
      <c r="G58" s="46" t="s">
        <v>50</v>
      </c>
      <c r="H58" s="45">
        <v>24288</v>
      </c>
      <c r="I58" s="48">
        <f t="shared" si="4"/>
        <v>46203</v>
      </c>
      <c r="J58" s="48"/>
      <c r="K58" s="84">
        <v>1</v>
      </c>
      <c r="L58" s="48"/>
      <c r="M58" s="5">
        <f t="shared" ca="1" si="5"/>
        <v>60</v>
      </c>
      <c r="N58" s="42" t="s">
        <v>39</v>
      </c>
      <c r="O58" s="43" t="s">
        <v>2</v>
      </c>
      <c r="P58" s="1" t="s">
        <v>40</v>
      </c>
      <c r="Q58" s="30" t="str">
        <f ca="1">IF(K58=1,IF(Paramètres!$E$9,IF(M58&lt;Paramètres!$B$13,Paramètres!$C$13,IF(M58&lt;Paramètres!$B$14,Paramètres!$C$14,IF(M58&lt;Paramètres!$B$15,Paramètres!$C$15,IF(M58&lt;Paramètres!$B$16,Paramètres!$C$16,IF(M58&lt;Paramètres!$B$17,Paramètres!$C$17,IF(M58&lt;Paramètres!$B$18,Paramètres!$C$18,IF(M58&lt;Paramètres!$B$19,Paramètres!$C$19,IF(M58&lt;Paramètres!$B$20,Paramètres!$C$20,IF(M58&lt;Paramètres!$B$21,Paramètres!$C$21,Paramètres!$C$22))))))))),M58),"")</f>
        <v>De 60 à 64 ans</v>
      </c>
      <c r="R58" s="1">
        <f t="shared" si="6"/>
        <v>1</v>
      </c>
      <c r="S58" s="31">
        <f t="shared" ca="1" si="7"/>
        <v>27.833333333333332</v>
      </c>
      <c r="T58" s="1" t="str">
        <f ca="1">IF(K58=1,IF(Paramètres!$E$25,IF(S58&lt;Paramètres!$B$29,Paramètres!$C$29,IF(S58&lt;Paramètres!$B$30,Paramètres!$C$30,IF(S58&lt;Paramètres!$B$31,Paramètres!$C$31,IF(S58&lt;Paramètres!$B$32,Paramètres!$C$32,IF(S58&lt;Paramètres!$B$33,Paramètres!$C$33,IF(S58&lt;Paramètres!$B$34,Paramètres!$C$34,IF(S58&lt;Paramètres!$B$35,Paramètres!$C$35,IF(S58&lt;Paramètres!$B$36,Paramètres!$C$36,IF(S58&lt;Paramètres!$B$37,Paramètres!$C$37,Paramètres!$C$38))))))))),[3]Données!P503),"")</f>
        <v>De 25 à 29 ans</v>
      </c>
    </row>
    <row r="59" spans="1:20" hidden="1" x14ac:dyDescent="0.25">
      <c r="A59" s="47">
        <v>510</v>
      </c>
      <c r="B59" s="47" t="s">
        <v>148</v>
      </c>
      <c r="C59" s="47" t="s">
        <v>84</v>
      </c>
      <c r="D59" s="47" t="s">
        <v>36</v>
      </c>
      <c r="E59" s="47" t="s">
        <v>37</v>
      </c>
      <c r="F59" s="48">
        <v>36395</v>
      </c>
      <c r="G59" s="49" t="s">
        <v>149</v>
      </c>
      <c r="H59" s="48">
        <v>28607</v>
      </c>
      <c r="I59" s="48">
        <f t="shared" si="4"/>
        <v>50522</v>
      </c>
      <c r="J59" s="48"/>
      <c r="K59" s="84">
        <v>1</v>
      </c>
      <c r="L59" s="48"/>
      <c r="M59" s="5">
        <f t="shared" ca="1" si="5"/>
        <v>48.166666666666664</v>
      </c>
      <c r="N59" s="43" t="s">
        <v>39</v>
      </c>
      <c r="O59" s="43" t="s">
        <v>2</v>
      </c>
      <c r="P59" s="1" t="s">
        <v>40</v>
      </c>
      <c r="Q59" s="30" t="str">
        <f ca="1">IF(K59=1,IF(Paramètres!$E$9,IF(M59&lt;Paramètres!$B$13,Paramètres!$C$13,IF(M59&lt;Paramètres!$B$14,Paramètres!$C$14,IF(M59&lt;Paramètres!$B$15,Paramètres!$C$15,IF(M59&lt;Paramètres!$B$16,Paramètres!$C$16,IF(M59&lt;Paramètres!$B$17,Paramètres!$C$17,IF(M59&lt;Paramètres!$B$18,Paramètres!$C$18,IF(M59&lt;Paramètres!$B$19,Paramètres!$C$19,IF(M59&lt;Paramètres!$B$20,Paramètres!$C$20,IF(M59&lt;Paramètres!$B$21,Paramètres!$C$21,Paramètres!$C$22))))))))),M59),"")</f>
        <v>De 45 à 49 ans</v>
      </c>
      <c r="R59" s="1">
        <f t="shared" si="6"/>
        <v>1</v>
      </c>
      <c r="S59" s="31">
        <f t="shared" ca="1" si="7"/>
        <v>26.833333333333332</v>
      </c>
      <c r="T59" s="1" t="str">
        <f ca="1">IF(K59=1,IF(Paramètres!$E$25,IF(S59&lt;Paramètres!$B$29,Paramètres!$C$29,IF(S59&lt;Paramètres!$B$30,Paramètres!$C$30,IF(S59&lt;Paramètres!$B$31,Paramètres!$C$31,IF(S59&lt;Paramètres!$B$32,Paramètres!$C$32,IF(S59&lt;Paramètres!$B$33,Paramètres!$C$33,IF(S59&lt;Paramètres!$B$34,Paramètres!$C$34,IF(S59&lt;Paramètres!$B$35,Paramètres!$C$35,IF(S59&lt;Paramètres!$B$36,Paramètres!$C$36,IF(S59&lt;Paramètres!$B$37,Paramètres!$C$37,Paramètres!$C$38))))))))),[3]Données!P504),"")</f>
        <v>De 25 à 29 ans</v>
      </c>
    </row>
    <row r="60" spans="1:20" hidden="1" x14ac:dyDescent="0.25">
      <c r="A60" s="44">
        <v>511</v>
      </c>
      <c r="B60" s="44" t="s">
        <v>150</v>
      </c>
      <c r="C60" s="44" t="s">
        <v>151</v>
      </c>
      <c r="D60" s="44" t="s">
        <v>36</v>
      </c>
      <c r="E60" s="47" t="s">
        <v>55</v>
      </c>
      <c r="F60" s="45">
        <v>36466</v>
      </c>
      <c r="G60" s="46" t="s">
        <v>50</v>
      </c>
      <c r="H60" s="45">
        <v>26515</v>
      </c>
      <c r="I60" s="48">
        <f t="shared" si="4"/>
        <v>48430</v>
      </c>
      <c r="J60" s="48"/>
      <c r="K60" s="84">
        <v>1</v>
      </c>
      <c r="L60" s="48"/>
      <c r="M60" s="5">
        <f t="shared" ca="1" si="5"/>
        <v>53.916666666666664</v>
      </c>
      <c r="N60" s="42" t="s">
        <v>39</v>
      </c>
      <c r="O60" s="43" t="s">
        <v>2</v>
      </c>
      <c r="P60" s="1" t="s">
        <v>40</v>
      </c>
      <c r="Q60" s="30" t="str">
        <f ca="1">IF(K60=1,IF(Paramètres!$E$9,IF(M60&lt;Paramètres!$B$13,Paramètres!$C$13,IF(M60&lt;Paramètres!$B$14,Paramètres!$C$14,IF(M60&lt;Paramètres!$B$15,Paramètres!$C$15,IF(M60&lt;Paramètres!$B$16,Paramètres!$C$16,IF(M60&lt;Paramètres!$B$17,Paramètres!$C$17,IF(M60&lt;Paramètres!$B$18,Paramètres!$C$18,IF(M60&lt;Paramètres!$B$19,Paramètres!$C$19,IF(M60&lt;Paramètres!$B$20,Paramètres!$C$20,IF(M60&lt;Paramètres!$B$21,Paramètres!$C$21,Paramètres!$C$22))))))))),M60),"")</f>
        <v>De 50 à 54 ans</v>
      </c>
      <c r="R60" s="1">
        <f t="shared" si="6"/>
        <v>1</v>
      </c>
      <c r="S60" s="31">
        <f t="shared" ca="1" si="7"/>
        <v>26.666666666666668</v>
      </c>
      <c r="T60" s="1" t="str">
        <f ca="1">IF(K60=1,IF(Paramètres!$E$25,IF(S60&lt;Paramètres!$B$29,Paramètres!$C$29,IF(S60&lt;Paramètres!$B$30,Paramètres!$C$30,IF(S60&lt;Paramètres!$B$31,Paramètres!$C$31,IF(S60&lt;Paramètres!$B$32,Paramètres!$C$32,IF(S60&lt;Paramètres!$B$33,Paramètres!$C$33,IF(S60&lt;Paramètres!$B$34,Paramètres!$C$34,IF(S60&lt;Paramètres!$B$35,Paramètres!$C$35,IF(S60&lt;Paramètres!$B$36,Paramètres!$C$36,IF(S60&lt;Paramètres!$B$37,Paramètres!$C$37,Paramètres!$C$38))))))))),[3]Données!P505),"")</f>
        <v>De 25 à 29 ans</v>
      </c>
    </row>
    <row r="61" spans="1:20" hidden="1" x14ac:dyDescent="0.25">
      <c r="A61" s="47">
        <v>512</v>
      </c>
      <c r="B61" s="47" t="s">
        <v>152</v>
      </c>
      <c r="C61" s="47" t="s">
        <v>42</v>
      </c>
      <c r="D61" s="47" t="s">
        <v>36</v>
      </c>
      <c r="E61" s="47" t="s">
        <v>37</v>
      </c>
      <c r="F61" s="48">
        <v>36472</v>
      </c>
      <c r="G61" s="49" t="s">
        <v>47</v>
      </c>
      <c r="H61" s="48">
        <v>29036</v>
      </c>
      <c r="I61" s="48">
        <f t="shared" si="4"/>
        <v>50951</v>
      </c>
      <c r="J61" s="48"/>
      <c r="K61" s="84">
        <v>1</v>
      </c>
      <c r="L61" s="48"/>
      <c r="M61" s="5">
        <f t="shared" ca="1" si="5"/>
        <v>47</v>
      </c>
      <c r="N61" s="43" t="s">
        <v>39</v>
      </c>
      <c r="O61" s="43" t="s">
        <v>2</v>
      </c>
      <c r="P61" s="1" t="s">
        <v>40</v>
      </c>
      <c r="Q61" s="30" t="str">
        <f ca="1">IF(K61=1,IF(Paramètres!$E$9,IF(M61&lt;Paramètres!$B$13,Paramètres!$C$13,IF(M61&lt;Paramètres!$B$14,Paramètres!$C$14,IF(M61&lt;Paramètres!$B$15,Paramètres!$C$15,IF(M61&lt;Paramètres!$B$16,Paramètres!$C$16,IF(M61&lt;Paramètres!$B$17,Paramètres!$C$17,IF(M61&lt;Paramètres!$B$18,Paramètres!$C$18,IF(M61&lt;Paramètres!$B$19,Paramètres!$C$19,IF(M61&lt;Paramètres!$B$20,Paramètres!$C$20,IF(M61&lt;Paramètres!$B$21,Paramètres!$C$21,Paramètres!$C$22))))))))),M61),"")</f>
        <v>De 45 à 49 ans</v>
      </c>
      <c r="R61" s="1">
        <f t="shared" si="6"/>
        <v>1</v>
      </c>
      <c r="S61" s="31">
        <f t="shared" ca="1" si="7"/>
        <v>26.583333333333332</v>
      </c>
      <c r="T61" s="1" t="str">
        <f ca="1">IF(K61=1,IF(Paramètres!$E$25,IF(S61&lt;Paramètres!$B$29,Paramètres!$C$29,IF(S61&lt;Paramètres!$B$30,Paramètres!$C$30,IF(S61&lt;Paramètres!$B$31,Paramètres!$C$31,IF(S61&lt;Paramètres!$B$32,Paramètres!$C$32,IF(S61&lt;Paramètres!$B$33,Paramètres!$C$33,IF(S61&lt;Paramètres!$B$34,Paramètres!$C$34,IF(S61&lt;Paramètres!$B$35,Paramètres!$C$35,IF(S61&lt;Paramètres!$B$36,Paramètres!$C$36,IF(S61&lt;Paramètres!$B$37,Paramètres!$C$37,Paramètres!$C$38))))))))),[3]Données!P506),"")</f>
        <v>De 25 à 29 ans</v>
      </c>
    </row>
    <row r="62" spans="1:20" hidden="1" x14ac:dyDescent="0.25">
      <c r="A62" s="47">
        <v>588</v>
      </c>
      <c r="B62" s="47" t="s">
        <v>153</v>
      </c>
      <c r="C62" s="47" t="s">
        <v>154</v>
      </c>
      <c r="D62" s="47" t="s">
        <v>36</v>
      </c>
      <c r="E62" s="47" t="s">
        <v>37</v>
      </c>
      <c r="F62" s="48">
        <v>37396</v>
      </c>
      <c r="G62" s="49" t="s">
        <v>75</v>
      </c>
      <c r="H62" s="48">
        <v>28889</v>
      </c>
      <c r="I62" s="48">
        <f t="shared" si="4"/>
        <v>50804</v>
      </c>
      <c r="J62" s="48"/>
      <c r="K62" s="84">
        <v>1</v>
      </c>
      <c r="L62" s="48"/>
      <c r="M62" s="5">
        <f t="shared" ca="1" si="5"/>
        <v>47.416666666666664</v>
      </c>
      <c r="N62" s="42" t="s">
        <v>39</v>
      </c>
      <c r="O62" s="43" t="s">
        <v>2</v>
      </c>
      <c r="P62" s="1" t="s">
        <v>40</v>
      </c>
      <c r="Q62" s="30" t="str">
        <f ca="1">IF(K62=1,IF(Paramètres!$E$9,IF(M62&lt;Paramètres!$B$13,Paramètres!$C$13,IF(M62&lt;Paramètres!$B$14,Paramètres!$C$14,IF(M62&lt;Paramètres!$B$15,Paramètres!$C$15,IF(M62&lt;Paramètres!$B$16,Paramètres!$C$16,IF(M62&lt;Paramètres!$B$17,Paramètres!$C$17,IF(M62&lt;Paramètres!$B$18,Paramètres!$C$18,IF(M62&lt;Paramètres!$B$19,Paramètres!$C$19,IF(M62&lt;Paramètres!$B$20,Paramètres!$C$20,IF(M62&lt;Paramètres!$B$21,Paramètres!$C$21,Paramètres!$C$22))))))))),M62),"")</f>
        <v>De 45 à 49 ans</v>
      </c>
      <c r="R62" s="1">
        <f t="shared" si="6"/>
        <v>1</v>
      </c>
      <c r="S62" s="31">
        <f t="shared" ca="1" si="7"/>
        <v>24.083333333333332</v>
      </c>
      <c r="T62" s="1" t="str">
        <f ca="1">IF(K62=1,IF(Paramètres!$E$25,IF(S62&lt;Paramètres!$B$29,Paramètres!$C$29,IF(S62&lt;Paramètres!$B$30,Paramètres!$C$30,IF(S62&lt;Paramètres!$B$31,Paramètres!$C$31,IF(S62&lt;Paramètres!$B$32,Paramètres!$C$32,IF(S62&lt;Paramètres!$B$33,Paramètres!$C$33,IF(S62&lt;Paramètres!$B$34,Paramètres!$C$34,IF(S62&lt;Paramètres!$B$35,Paramètres!$C$35,IF(S62&lt;Paramètres!$B$36,Paramètres!$C$36,IF(S62&lt;Paramètres!$B$37,Paramètres!$C$37,Paramètres!$C$38))))))))),[3]Données!P507),"")</f>
        <v>De 20 à 24 ans</v>
      </c>
    </row>
    <row r="63" spans="1:20" hidden="1" x14ac:dyDescent="0.25">
      <c r="A63" s="47">
        <v>596</v>
      </c>
      <c r="B63" s="47" t="s">
        <v>155</v>
      </c>
      <c r="C63" s="47" t="s">
        <v>42</v>
      </c>
      <c r="D63" s="47" t="s">
        <v>36</v>
      </c>
      <c r="E63" s="47" t="s">
        <v>55</v>
      </c>
      <c r="F63" s="48">
        <v>37459</v>
      </c>
      <c r="G63" s="49" t="s">
        <v>56</v>
      </c>
      <c r="H63" s="48">
        <v>29479</v>
      </c>
      <c r="I63" s="48">
        <f t="shared" si="4"/>
        <v>51394</v>
      </c>
      <c r="J63" s="48"/>
      <c r="K63" s="84">
        <v>1</v>
      </c>
      <c r="L63" s="48"/>
      <c r="M63" s="5">
        <f t="shared" ca="1" si="5"/>
        <v>45.75</v>
      </c>
      <c r="N63" s="43" t="s">
        <v>39</v>
      </c>
      <c r="O63" s="43" t="s">
        <v>2</v>
      </c>
      <c r="P63" s="1" t="s">
        <v>40</v>
      </c>
      <c r="Q63" s="30" t="str">
        <f ca="1">IF(K63=1,IF(Paramètres!$E$9,IF(M63&lt;Paramètres!$B$13,Paramètres!$C$13,IF(M63&lt;Paramètres!$B$14,Paramètres!$C$14,IF(M63&lt;Paramètres!$B$15,Paramètres!$C$15,IF(M63&lt;Paramètres!$B$16,Paramètres!$C$16,IF(M63&lt;Paramètres!$B$17,Paramètres!$C$17,IF(M63&lt;Paramètres!$B$18,Paramètres!$C$18,IF(M63&lt;Paramètres!$B$19,Paramètres!$C$19,IF(M63&lt;Paramètres!$B$20,Paramètres!$C$20,IF(M63&lt;Paramètres!$B$21,Paramètres!$C$21,Paramètres!$C$22))))))))),M63),"")</f>
        <v>De 45 à 49 ans</v>
      </c>
      <c r="R63" s="1">
        <f t="shared" si="6"/>
        <v>1</v>
      </c>
      <c r="S63" s="31">
        <f t="shared" ca="1" si="7"/>
        <v>23.916666666666668</v>
      </c>
      <c r="T63" s="1" t="str">
        <f ca="1">IF(K63=1,IF(Paramètres!$E$25,IF(S63&lt;Paramètres!$B$29,Paramètres!$C$29,IF(S63&lt;Paramètres!$B$30,Paramètres!$C$30,IF(S63&lt;Paramètres!$B$31,Paramètres!$C$31,IF(S63&lt;Paramètres!$B$32,Paramètres!$C$32,IF(S63&lt;Paramètres!$B$33,Paramètres!$C$33,IF(S63&lt;Paramètres!$B$34,Paramètres!$C$34,IF(S63&lt;Paramètres!$B$35,Paramètres!$C$35,IF(S63&lt;Paramètres!$B$36,Paramètres!$C$36,IF(S63&lt;Paramètres!$B$37,Paramètres!$C$37,Paramètres!$C$38))))))))),[3]Données!P508),"")</f>
        <v>De 20 à 24 ans</v>
      </c>
    </row>
    <row r="64" spans="1:20" hidden="1" x14ac:dyDescent="0.25">
      <c r="A64" s="44">
        <v>597</v>
      </c>
      <c r="B64" s="44" t="s">
        <v>156</v>
      </c>
      <c r="C64" s="44" t="s">
        <v>157</v>
      </c>
      <c r="D64" s="44" t="s">
        <v>36</v>
      </c>
      <c r="E64" s="47" t="s">
        <v>37</v>
      </c>
      <c r="F64" s="45">
        <v>37459</v>
      </c>
      <c r="G64" s="46" t="s">
        <v>92</v>
      </c>
      <c r="H64" s="45">
        <v>26873</v>
      </c>
      <c r="I64" s="48">
        <f t="shared" si="4"/>
        <v>48788</v>
      </c>
      <c r="J64" s="48"/>
      <c r="K64" s="84">
        <v>1</v>
      </c>
      <c r="L64" s="48"/>
      <c r="M64" s="5">
        <f t="shared" ca="1" si="5"/>
        <v>52.916666666666664</v>
      </c>
      <c r="N64" s="42" t="s">
        <v>39</v>
      </c>
      <c r="O64" s="43" t="s">
        <v>2</v>
      </c>
      <c r="P64" s="1" t="s">
        <v>40</v>
      </c>
      <c r="Q64" s="30" t="str">
        <f ca="1">IF(K64=1,IF(Paramètres!$E$9,IF(M64&lt;Paramètres!$B$13,Paramètres!$C$13,IF(M64&lt;Paramètres!$B$14,Paramètres!$C$14,IF(M64&lt;Paramètres!$B$15,Paramètres!$C$15,IF(M64&lt;Paramètres!$B$16,Paramètres!$C$16,IF(M64&lt;Paramètres!$B$17,Paramètres!$C$17,IF(M64&lt;Paramètres!$B$18,Paramètres!$C$18,IF(M64&lt;Paramètres!$B$19,Paramètres!$C$19,IF(M64&lt;Paramètres!$B$20,Paramètres!$C$20,IF(M64&lt;Paramètres!$B$21,Paramètres!$C$21,Paramètres!$C$22))))))))),M64),"")</f>
        <v>De 50 à 54 ans</v>
      </c>
      <c r="R64" s="1">
        <f t="shared" si="6"/>
        <v>1</v>
      </c>
      <c r="S64" s="31">
        <f t="shared" ca="1" si="7"/>
        <v>23.916666666666668</v>
      </c>
      <c r="T64" s="1" t="str">
        <f ca="1">IF(K64=1,IF(Paramètres!$E$25,IF(S64&lt;Paramètres!$B$29,Paramètres!$C$29,IF(S64&lt;Paramètres!$B$30,Paramètres!$C$30,IF(S64&lt;Paramètres!$B$31,Paramètres!$C$31,IF(S64&lt;Paramètres!$B$32,Paramètres!$C$32,IF(S64&lt;Paramètres!$B$33,Paramètres!$C$33,IF(S64&lt;Paramètres!$B$34,Paramètres!$C$34,IF(S64&lt;Paramètres!$B$35,Paramètres!$C$35,IF(S64&lt;Paramètres!$B$36,Paramètres!$C$36,IF(S64&lt;Paramètres!$B$37,Paramètres!$C$37,Paramètres!$C$38))))))))),[3]Données!P509),"")</f>
        <v>De 20 à 24 ans</v>
      </c>
    </row>
    <row r="65" spans="1:20" hidden="1" x14ac:dyDescent="0.25">
      <c r="A65" s="47">
        <v>819</v>
      </c>
      <c r="B65" s="47" t="s">
        <v>158</v>
      </c>
      <c r="C65" s="47" t="s">
        <v>159</v>
      </c>
      <c r="D65" s="47" t="s">
        <v>36</v>
      </c>
      <c r="E65" s="47" t="s">
        <v>37</v>
      </c>
      <c r="F65" s="48">
        <v>38719</v>
      </c>
      <c r="G65" s="49" t="s">
        <v>160</v>
      </c>
      <c r="H65" s="48">
        <v>31379</v>
      </c>
      <c r="I65" s="48">
        <f t="shared" si="4"/>
        <v>53294</v>
      </c>
      <c r="J65" s="48"/>
      <c r="K65" s="84">
        <v>1</v>
      </c>
      <c r="L65" s="48"/>
      <c r="M65" s="5">
        <f t="shared" ca="1" si="5"/>
        <v>40.583333333333336</v>
      </c>
      <c r="N65" s="43" t="s">
        <v>39</v>
      </c>
      <c r="O65" s="43" t="s">
        <v>2</v>
      </c>
      <c r="P65" s="1" t="s">
        <v>40</v>
      </c>
      <c r="Q65" s="30" t="str">
        <f ca="1">IF(K65=1,IF(Paramètres!$E$9,IF(M65&lt;Paramètres!$B$13,Paramètres!$C$13,IF(M65&lt;Paramètres!$B$14,Paramètres!$C$14,IF(M65&lt;Paramètres!$B$15,Paramètres!$C$15,IF(M65&lt;Paramètres!$B$16,Paramètres!$C$16,IF(M65&lt;Paramètres!$B$17,Paramètres!$C$17,IF(M65&lt;Paramètres!$B$18,Paramètres!$C$18,IF(M65&lt;Paramètres!$B$19,Paramètres!$C$19,IF(M65&lt;Paramètres!$B$20,Paramètres!$C$20,IF(M65&lt;Paramètres!$B$21,Paramètres!$C$21,Paramètres!$C$22))))))))),M65),"")</f>
        <v>De 40 à 44 ans</v>
      </c>
      <c r="R65" s="1">
        <f t="shared" si="6"/>
        <v>1</v>
      </c>
      <c r="S65" s="31">
        <f t="shared" ca="1" si="7"/>
        <v>20.5</v>
      </c>
      <c r="T65" s="1" t="str">
        <f ca="1">IF(K65=1,IF(Paramètres!$E$25,IF(S65&lt;Paramètres!$B$29,Paramètres!$C$29,IF(S65&lt;Paramètres!$B$30,Paramètres!$C$30,IF(S65&lt;Paramètres!$B$31,Paramètres!$C$31,IF(S65&lt;Paramètres!$B$32,Paramètres!$C$32,IF(S65&lt;Paramètres!$B$33,Paramètres!$C$33,IF(S65&lt;Paramètres!$B$34,Paramètres!$C$34,IF(S65&lt;Paramètres!$B$35,Paramètres!$C$35,IF(S65&lt;Paramètres!$B$36,Paramètres!$C$36,IF(S65&lt;Paramètres!$B$37,Paramètres!$C$37,Paramètres!$C$38))))))))),[3]Données!P510),"")</f>
        <v>De 20 à 24 ans</v>
      </c>
    </row>
    <row r="66" spans="1:20" hidden="1" x14ac:dyDescent="0.25">
      <c r="A66" s="47">
        <v>823</v>
      </c>
      <c r="B66" s="47" t="s">
        <v>161</v>
      </c>
      <c r="C66" s="47" t="s">
        <v>140</v>
      </c>
      <c r="D66" s="47" t="s">
        <v>36</v>
      </c>
      <c r="E66" s="47" t="s">
        <v>162</v>
      </c>
      <c r="F66" s="48">
        <v>38719</v>
      </c>
      <c r="G66" s="49" t="s">
        <v>75</v>
      </c>
      <c r="H66" s="48">
        <v>30934</v>
      </c>
      <c r="I66" s="48">
        <f t="shared" ref="I66:I97" si="8">H66+(365.25*60)</f>
        <v>52849</v>
      </c>
      <c r="J66" s="48"/>
      <c r="K66" s="84">
        <v>1</v>
      </c>
      <c r="L66" s="48"/>
      <c r="M66" s="5">
        <f t="shared" ref="M66:M97" ca="1" si="9">K66*(DATEDIF(H66,TODAY(),"m")/12)</f>
        <v>41.75</v>
      </c>
      <c r="N66" s="43" t="s">
        <v>39</v>
      </c>
      <c r="O66" s="43" t="s">
        <v>2</v>
      </c>
      <c r="P66" s="1" t="s">
        <v>40</v>
      </c>
      <c r="Q66" s="30" t="str">
        <f ca="1">IF(K66=1,IF(Paramètres!$E$9,IF(M66&lt;Paramètres!$B$13,Paramètres!$C$13,IF(M66&lt;Paramètres!$B$14,Paramètres!$C$14,IF(M66&lt;Paramètres!$B$15,Paramètres!$C$15,IF(M66&lt;Paramètres!$B$16,Paramètres!$C$16,IF(M66&lt;Paramètres!$B$17,Paramètres!$C$17,IF(M66&lt;Paramètres!$B$18,Paramètres!$C$18,IF(M66&lt;Paramètres!$B$19,Paramètres!$C$19,IF(M66&lt;Paramètres!$B$20,Paramètres!$C$20,IF(M66&lt;Paramètres!$B$21,Paramètres!$C$21,Paramètres!$C$22))))))))),M66),"")</f>
        <v>De 40 à 44 ans</v>
      </c>
      <c r="R66" s="1">
        <f t="shared" ref="R66:R97" si="10">+IF(N66="Mr",1,2)</f>
        <v>1</v>
      </c>
      <c r="S66" s="31">
        <f t="shared" ca="1" si="7"/>
        <v>20.5</v>
      </c>
      <c r="T66" s="1" t="str">
        <f ca="1">IF(K66=1,IF(Paramètres!$E$25,IF(S66&lt;Paramètres!$B$29,Paramètres!$C$29,IF(S66&lt;Paramètres!$B$30,Paramètres!$C$30,IF(S66&lt;Paramètres!$B$31,Paramètres!$C$31,IF(S66&lt;Paramètres!$B$32,Paramètres!$C$32,IF(S66&lt;Paramètres!$B$33,Paramètres!$C$33,IF(S66&lt;Paramètres!$B$34,Paramètres!$C$34,IF(S66&lt;Paramètres!$B$35,Paramètres!$C$35,IF(S66&lt;Paramètres!$B$36,Paramètres!$C$36,IF(S66&lt;Paramètres!$B$37,Paramètres!$C$37,Paramètres!$C$38))))))))),[3]Données!P511),"")</f>
        <v>De 20 à 24 ans</v>
      </c>
    </row>
    <row r="67" spans="1:20" hidden="1" x14ac:dyDescent="0.25">
      <c r="A67" s="44">
        <v>824</v>
      </c>
      <c r="B67" s="44" t="s">
        <v>163</v>
      </c>
      <c r="C67" s="44" t="s">
        <v>164</v>
      </c>
      <c r="D67" s="44" t="s">
        <v>36</v>
      </c>
      <c r="E67" s="47" t="s">
        <v>37</v>
      </c>
      <c r="F67" s="45">
        <v>38719</v>
      </c>
      <c r="G67" s="46" t="s">
        <v>50</v>
      </c>
      <c r="H67" s="45">
        <v>30230</v>
      </c>
      <c r="I67" s="48">
        <f t="shared" si="8"/>
        <v>52145</v>
      </c>
      <c r="J67" s="48"/>
      <c r="K67" s="84">
        <v>1</v>
      </c>
      <c r="L67" s="48"/>
      <c r="M67" s="5">
        <f t="shared" ca="1" si="9"/>
        <v>43.75</v>
      </c>
      <c r="N67" s="42" t="s">
        <v>39</v>
      </c>
      <c r="O67" s="43" t="s">
        <v>2</v>
      </c>
      <c r="P67" s="1" t="s">
        <v>40</v>
      </c>
      <c r="Q67" s="30" t="str">
        <f ca="1">IF(K67=1,IF(Paramètres!$E$9,IF(M67&lt;Paramètres!$B$13,Paramètres!$C$13,IF(M67&lt;Paramètres!$B$14,Paramètres!$C$14,IF(M67&lt;Paramètres!$B$15,Paramètres!$C$15,IF(M67&lt;Paramètres!$B$16,Paramètres!$C$16,IF(M67&lt;Paramètres!$B$17,Paramètres!$C$17,IF(M67&lt;Paramètres!$B$18,Paramètres!$C$18,IF(M67&lt;Paramètres!$B$19,Paramètres!$C$19,IF(M67&lt;Paramètres!$B$20,Paramètres!$C$20,IF(M67&lt;Paramètres!$B$21,Paramètres!$C$21,Paramètres!$C$22))))))))),M67),"")</f>
        <v>De 40 à 44 ans</v>
      </c>
      <c r="R67" s="1">
        <f t="shared" si="10"/>
        <v>1</v>
      </c>
      <c r="S67" s="31">
        <f t="shared" ca="1" si="7"/>
        <v>20.5</v>
      </c>
      <c r="T67" s="1" t="str">
        <f ca="1">IF(K67=1,IF(Paramètres!$E$25,IF(S67&lt;Paramètres!$B$29,Paramètres!$C$29,IF(S67&lt;Paramètres!$B$30,Paramètres!$C$30,IF(S67&lt;Paramètres!$B$31,Paramètres!$C$31,IF(S67&lt;Paramètres!$B$32,Paramètres!$C$32,IF(S67&lt;Paramètres!$B$33,Paramètres!$C$33,IF(S67&lt;Paramètres!$B$34,Paramètres!$C$34,IF(S67&lt;Paramètres!$B$35,Paramètres!$C$35,IF(S67&lt;Paramètres!$B$36,Paramètres!$C$36,IF(S67&lt;Paramètres!$B$37,Paramètres!$C$37,Paramètres!$C$38))))))))),[3]Données!P512),"")</f>
        <v>De 20 à 24 ans</v>
      </c>
    </row>
    <row r="68" spans="1:20" hidden="1" x14ac:dyDescent="0.25">
      <c r="A68" s="47">
        <v>887</v>
      </c>
      <c r="B68" s="47" t="s">
        <v>165</v>
      </c>
      <c r="C68" s="47" t="s">
        <v>42</v>
      </c>
      <c r="D68" s="47" t="s">
        <v>36</v>
      </c>
      <c r="E68" s="47" t="s">
        <v>55</v>
      </c>
      <c r="F68" s="48">
        <v>38964</v>
      </c>
      <c r="G68" s="49" t="s">
        <v>149</v>
      </c>
      <c r="H68" s="48">
        <v>28477</v>
      </c>
      <c r="I68" s="48">
        <f t="shared" si="8"/>
        <v>50392</v>
      </c>
      <c r="J68" s="48"/>
      <c r="K68" s="84">
        <v>1</v>
      </c>
      <c r="L68" s="48"/>
      <c r="M68" s="5">
        <f t="shared" ca="1" si="9"/>
        <v>48.5</v>
      </c>
      <c r="N68" s="42" t="s">
        <v>39</v>
      </c>
      <c r="O68" s="43" t="s">
        <v>2</v>
      </c>
      <c r="P68" s="1" t="s">
        <v>40</v>
      </c>
      <c r="Q68" s="30" t="str">
        <f ca="1">IF(K68=1,IF(Paramètres!$E$9,IF(M68&lt;Paramètres!$B$13,Paramètres!$C$13,IF(M68&lt;Paramètres!$B$14,Paramètres!$C$14,IF(M68&lt;Paramètres!$B$15,Paramètres!$C$15,IF(M68&lt;Paramètres!$B$16,Paramètres!$C$16,IF(M68&lt;Paramètres!$B$17,Paramètres!$C$17,IF(M68&lt;Paramètres!$B$18,Paramètres!$C$18,IF(M68&lt;Paramètres!$B$19,Paramètres!$C$19,IF(M68&lt;Paramètres!$B$20,Paramètres!$C$20,IF(M68&lt;Paramètres!$B$21,Paramètres!$C$21,Paramètres!$C$22))))))))),M68),"")</f>
        <v>De 45 à 49 ans</v>
      </c>
      <c r="R68" s="1">
        <f t="shared" si="10"/>
        <v>1</v>
      </c>
      <c r="S68" s="31">
        <f t="shared" ca="1" si="7"/>
        <v>19.833333333333332</v>
      </c>
      <c r="T68" s="1" t="str">
        <f ca="1">IF(K68=1,IF(Paramètres!$E$25,IF(S68&lt;Paramètres!$B$29,Paramètres!$C$29,IF(S68&lt;Paramètres!$B$30,Paramètres!$C$30,IF(S68&lt;Paramètres!$B$31,Paramètres!$C$31,IF(S68&lt;Paramètres!$B$32,Paramètres!$C$32,IF(S68&lt;Paramètres!$B$33,Paramètres!$C$33,IF(S68&lt;Paramètres!$B$34,Paramètres!$C$34,IF(S68&lt;Paramètres!$B$35,Paramètres!$C$35,IF(S68&lt;Paramètres!$B$36,Paramètres!$C$36,IF(S68&lt;Paramètres!$B$37,Paramètres!$C$37,Paramètres!$C$38))))))))),[3]Données!P513),"")</f>
        <v>De 15 à 19 ans</v>
      </c>
    </row>
    <row r="69" spans="1:20" hidden="1" x14ac:dyDescent="0.25">
      <c r="A69" s="44">
        <v>957</v>
      </c>
      <c r="B69" s="44" t="s">
        <v>166</v>
      </c>
      <c r="C69" s="44" t="s">
        <v>167</v>
      </c>
      <c r="D69" s="44" t="s">
        <v>36</v>
      </c>
      <c r="E69" s="47" t="s">
        <v>37</v>
      </c>
      <c r="F69" s="45">
        <v>39167</v>
      </c>
      <c r="G69" s="46" t="s">
        <v>50</v>
      </c>
      <c r="H69" s="45">
        <v>31068</v>
      </c>
      <c r="I69" s="48">
        <f t="shared" si="8"/>
        <v>52983</v>
      </c>
      <c r="J69" s="48"/>
      <c r="K69" s="84">
        <v>1</v>
      </c>
      <c r="L69" s="48"/>
      <c r="M69" s="5">
        <f t="shared" ca="1" si="9"/>
        <v>41.416666666666664</v>
      </c>
      <c r="N69" s="42" t="s">
        <v>39</v>
      </c>
      <c r="O69" s="43" t="s">
        <v>2</v>
      </c>
      <c r="P69" s="1" t="s">
        <v>40</v>
      </c>
      <c r="Q69" s="30" t="str">
        <f ca="1">IF(K69=1,IF(Paramètres!$E$9,IF(M69&lt;Paramètres!$B$13,Paramètres!$C$13,IF(M69&lt;Paramètres!$B$14,Paramètres!$C$14,IF(M69&lt;Paramètres!$B$15,Paramètres!$C$15,IF(M69&lt;Paramètres!$B$16,Paramètres!$C$16,IF(M69&lt;Paramètres!$B$17,Paramètres!$C$17,IF(M69&lt;Paramètres!$B$18,Paramètres!$C$18,IF(M69&lt;Paramètres!$B$19,Paramètres!$C$19,IF(M69&lt;Paramètres!$B$20,Paramètres!$C$20,IF(M69&lt;Paramètres!$B$21,Paramètres!$C$21,Paramètres!$C$22))))))))),M69),"")</f>
        <v>De 40 à 44 ans</v>
      </c>
      <c r="R69" s="1">
        <f t="shared" si="10"/>
        <v>1</v>
      </c>
      <c r="S69" s="31">
        <f t="shared" ca="1" si="7"/>
        <v>19.25</v>
      </c>
      <c r="T69" s="1" t="str">
        <f ca="1">IF(K69=1,IF(Paramètres!$E$25,IF(S69&lt;Paramètres!$B$29,Paramètres!$C$29,IF(S69&lt;Paramètres!$B$30,Paramètres!$C$30,IF(S69&lt;Paramètres!$B$31,Paramètres!$C$31,IF(S69&lt;Paramètres!$B$32,Paramètres!$C$32,IF(S69&lt;Paramètres!$B$33,Paramètres!$C$33,IF(S69&lt;Paramètres!$B$34,Paramètres!$C$34,IF(S69&lt;Paramètres!$B$35,Paramètres!$C$35,IF(S69&lt;Paramètres!$B$36,Paramètres!$C$36,IF(S69&lt;Paramètres!$B$37,Paramètres!$C$37,Paramètres!$C$38))))))))),[3]Données!P514),"")</f>
        <v>De 15 à 19 ans</v>
      </c>
    </row>
    <row r="70" spans="1:20" hidden="1" x14ac:dyDescent="0.25">
      <c r="A70" s="44">
        <v>1060</v>
      </c>
      <c r="B70" s="44" t="s">
        <v>168</v>
      </c>
      <c r="C70" s="44" t="s">
        <v>42</v>
      </c>
      <c r="D70" s="44" t="s">
        <v>36</v>
      </c>
      <c r="E70" s="44" t="s">
        <v>162</v>
      </c>
      <c r="F70" s="45">
        <v>39644</v>
      </c>
      <c r="G70" s="49" t="s">
        <v>169</v>
      </c>
      <c r="H70" s="45">
        <v>30353</v>
      </c>
      <c r="I70" s="48">
        <f t="shared" si="8"/>
        <v>52268</v>
      </c>
      <c r="J70" s="48"/>
      <c r="K70" s="84">
        <v>1</v>
      </c>
      <c r="L70" s="48"/>
      <c r="M70" s="5">
        <f t="shared" ca="1" si="9"/>
        <v>43.416666666666664</v>
      </c>
      <c r="N70" s="42" t="s">
        <v>39</v>
      </c>
      <c r="O70" s="43" t="s">
        <v>2</v>
      </c>
      <c r="P70" s="1" t="s">
        <v>40</v>
      </c>
      <c r="Q70" s="30" t="str">
        <f ca="1">IF(K70=1,IF(Paramètres!$E$9,IF(M70&lt;Paramètres!$B$13,Paramètres!$C$13,IF(M70&lt;Paramètres!$B$14,Paramètres!$C$14,IF(M70&lt;Paramètres!$B$15,Paramètres!$C$15,IF(M70&lt;Paramètres!$B$16,Paramètres!$C$16,IF(M70&lt;Paramètres!$B$17,Paramètres!$C$17,IF(M70&lt;Paramètres!$B$18,Paramètres!$C$18,IF(M70&lt;Paramètres!$B$19,Paramètres!$C$19,IF(M70&lt;Paramètres!$B$20,Paramètres!$C$20,IF(M70&lt;Paramètres!$B$21,Paramètres!$C$21,Paramètres!$C$22))))))))),M70),"")</f>
        <v>De 40 à 44 ans</v>
      </c>
      <c r="R70" s="1">
        <f t="shared" si="10"/>
        <v>1</v>
      </c>
      <c r="S70" s="31">
        <f t="shared" ca="1" si="7"/>
        <v>17.916666666666668</v>
      </c>
      <c r="T70" s="1" t="str">
        <f ca="1">IF(K70=1,IF(Paramètres!$E$25,IF(S70&lt;Paramètres!$B$29,Paramètres!$C$29,IF(S70&lt;Paramètres!$B$30,Paramètres!$C$30,IF(S70&lt;Paramètres!$B$31,Paramètres!$C$31,IF(S70&lt;Paramètres!$B$32,Paramètres!$C$32,IF(S70&lt;Paramètres!$B$33,Paramètres!$C$33,IF(S70&lt;Paramètres!$B$34,Paramètres!$C$34,IF(S70&lt;Paramètres!$B$35,Paramètres!$C$35,IF(S70&lt;Paramètres!$B$36,Paramètres!$C$36,IF(S70&lt;Paramètres!$B$37,Paramètres!$C$37,Paramètres!$C$38))))))))),[3]Données!P515),"")</f>
        <v>De 15 à 19 ans</v>
      </c>
    </row>
    <row r="71" spans="1:20" hidden="1" x14ac:dyDescent="0.25">
      <c r="A71" s="44">
        <v>1078</v>
      </c>
      <c r="B71" s="44" t="s">
        <v>170</v>
      </c>
      <c r="C71" s="44" t="s">
        <v>140</v>
      </c>
      <c r="D71" s="44" t="s">
        <v>36</v>
      </c>
      <c r="E71" s="47" t="s">
        <v>37</v>
      </c>
      <c r="F71" s="45">
        <v>39853</v>
      </c>
      <c r="G71" s="46" t="s">
        <v>82</v>
      </c>
      <c r="H71" s="45">
        <v>30838</v>
      </c>
      <c r="I71" s="48">
        <f t="shared" si="8"/>
        <v>52753</v>
      </c>
      <c r="J71" s="48"/>
      <c r="K71" s="84">
        <v>1</v>
      </c>
      <c r="L71" s="48"/>
      <c r="M71" s="5">
        <f t="shared" ca="1" si="9"/>
        <v>42.083333333333336</v>
      </c>
      <c r="N71" s="42" t="s">
        <v>39</v>
      </c>
      <c r="O71" s="43" t="s">
        <v>2</v>
      </c>
      <c r="P71" s="1" t="s">
        <v>40</v>
      </c>
      <c r="Q71" s="30" t="str">
        <f ca="1">IF(K71=1,IF(Paramètres!$E$9,IF(M71&lt;Paramètres!$B$13,Paramètres!$C$13,IF(M71&lt;Paramètres!$B$14,Paramètres!$C$14,IF(M71&lt;Paramètres!$B$15,Paramètres!$C$15,IF(M71&lt;Paramètres!$B$16,Paramètres!$C$16,IF(M71&lt;Paramètres!$B$17,Paramètres!$C$17,IF(M71&lt;Paramètres!$B$18,Paramètres!$C$18,IF(M71&lt;Paramètres!$B$19,Paramètres!$C$19,IF(M71&lt;Paramètres!$B$20,Paramètres!$C$20,IF(M71&lt;Paramètres!$B$21,Paramètres!$C$21,Paramètres!$C$22))))))))),M71),"")</f>
        <v>De 40 à 44 ans</v>
      </c>
      <c r="R71" s="1">
        <f t="shared" si="10"/>
        <v>1</v>
      </c>
      <c r="S71" s="31">
        <f t="shared" ref="S71:S102" ca="1" si="11">K71*(DATEDIF(F71,TODAY(),"m")/12)</f>
        <v>17.333333333333332</v>
      </c>
      <c r="T71" s="1" t="str">
        <f ca="1">IF(K71=1,IF(Paramètres!$E$25,IF(S71&lt;Paramètres!$B$29,Paramètres!$C$29,IF(S71&lt;Paramètres!$B$30,Paramètres!$C$30,IF(S71&lt;Paramètres!$B$31,Paramètres!$C$31,IF(S71&lt;Paramètres!$B$32,Paramètres!$C$32,IF(S71&lt;Paramètres!$B$33,Paramètres!$C$33,IF(S71&lt;Paramètres!$B$34,Paramètres!$C$34,IF(S71&lt;Paramètres!$B$35,Paramètres!$C$35,IF(S71&lt;Paramètres!$B$36,Paramètres!$C$36,IF(S71&lt;Paramètres!$B$37,Paramètres!$C$37,Paramètres!$C$38))))))))),[3]Données!P516),"")</f>
        <v>De 15 à 19 ans</v>
      </c>
    </row>
    <row r="72" spans="1:20" hidden="1" x14ac:dyDescent="0.25">
      <c r="A72" s="47">
        <v>1081</v>
      </c>
      <c r="B72" s="47" t="s">
        <v>171</v>
      </c>
      <c r="C72" s="47" t="s">
        <v>172</v>
      </c>
      <c r="D72" s="47" t="s">
        <v>36</v>
      </c>
      <c r="E72" s="47" t="s">
        <v>37</v>
      </c>
      <c r="F72" s="48">
        <v>39853</v>
      </c>
      <c r="G72" s="49" t="s">
        <v>92</v>
      </c>
      <c r="H72" s="48">
        <v>31499</v>
      </c>
      <c r="I72" s="48">
        <f t="shared" si="8"/>
        <v>53414</v>
      </c>
      <c r="J72" s="48"/>
      <c r="K72" s="84">
        <v>1</v>
      </c>
      <c r="L72" s="48"/>
      <c r="M72" s="5">
        <f t="shared" ca="1" si="9"/>
        <v>40.25</v>
      </c>
      <c r="N72" s="43" t="s">
        <v>39</v>
      </c>
      <c r="O72" s="43" t="s">
        <v>2</v>
      </c>
      <c r="P72" s="1" t="s">
        <v>40</v>
      </c>
      <c r="Q72" s="30" t="str">
        <f ca="1">IF(K72=1,IF(Paramètres!$E$9,IF(M72&lt;Paramètres!$B$13,Paramètres!$C$13,IF(M72&lt;Paramètres!$B$14,Paramètres!$C$14,IF(M72&lt;Paramètres!$B$15,Paramètres!$C$15,IF(M72&lt;Paramètres!$B$16,Paramètres!$C$16,IF(M72&lt;Paramètres!$B$17,Paramètres!$C$17,IF(M72&lt;Paramètres!$B$18,Paramètres!$C$18,IF(M72&lt;Paramètres!$B$19,Paramètres!$C$19,IF(M72&lt;Paramètres!$B$20,Paramètres!$C$20,IF(M72&lt;Paramètres!$B$21,Paramètres!$C$21,Paramètres!$C$22))))))))),M72),"")</f>
        <v>De 40 à 44 ans</v>
      </c>
      <c r="R72" s="1">
        <f t="shared" si="10"/>
        <v>1</v>
      </c>
      <c r="S72" s="31">
        <f t="shared" ca="1" si="11"/>
        <v>17.333333333333332</v>
      </c>
      <c r="T72" s="1" t="str">
        <f ca="1">IF(K72=1,IF(Paramètres!$E$25,IF(S72&lt;Paramètres!$B$29,Paramètres!$C$29,IF(S72&lt;Paramètres!$B$30,Paramètres!$C$30,IF(S72&lt;Paramètres!$B$31,Paramètres!$C$31,IF(S72&lt;Paramètres!$B$32,Paramètres!$C$32,IF(S72&lt;Paramètres!$B$33,Paramètres!$C$33,IF(S72&lt;Paramètres!$B$34,Paramètres!$C$34,IF(S72&lt;Paramètres!$B$35,Paramètres!$C$35,IF(S72&lt;Paramètres!$B$36,Paramètres!$C$36,IF(S72&lt;Paramètres!$B$37,Paramètres!$C$37,Paramètres!$C$38))))))))),[3]Données!P517),"")</f>
        <v>De 15 à 19 ans</v>
      </c>
    </row>
    <row r="73" spans="1:20" hidden="1" x14ac:dyDescent="0.25">
      <c r="A73" s="44">
        <v>1082</v>
      </c>
      <c r="B73" s="44" t="s">
        <v>173</v>
      </c>
      <c r="C73" s="44" t="s">
        <v>133</v>
      </c>
      <c r="D73" s="44" t="s">
        <v>36</v>
      </c>
      <c r="E73" s="47" t="s">
        <v>37</v>
      </c>
      <c r="F73" s="45">
        <v>39860</v>
      </c>
      <c r="G73" s="46" t="s">
        <v>82</v>
      </c>
      <c r="H73" s="45">
        <v>31635</v>
      </c>
      <c r="I73" s="48">
        <f t="shared" si="8"/>
        <v>53550</v>
      </c>
      <c r="J73" s="48"/>
      <c r="K73" s="84">
        <v>1</v>
      </c>
      <c r="L73" s="48"/>
      <c r="M73" s="5">
        <f t="shared" ca="1" si="9"/>
        <v>39.833333333333336</v>
      </c>
      <c r="N73" s="42" t="s">
        <v>39</v>
      </c>
      <c r="O73" s="43" t="s">
        <v>2</v>
      </c>
      <c r="P73" s="1" t="s">
        <v>40</v>
      </c>
      <c r="Q73" s="30" t="str">
        <f ca="1">IF(K73=1,IF(Paramètres!$E$9,IF(M73&lt;Paramètres!$B$13,Paramètres!$C$13,IF(M73&lt;Paramètres!$B$14,Paramètres!$C$14,IF(M73&lt;Paramètres!$B$15,Paramètres!$C$15,IF(M73&lt;Paramètres!$B$16,Paramètres!$C$16,IF(M73&lt;Paramètres!$B$17,Paramètres!$C$17,IF(M73&lt;Paramètres!$B$18,Paramètres!$C$18,IF(M73&lt;Paramètres!$B$19,Paramètres!$C$19,IF(M73&lt;Paramètres!$B$20,Paramètres!$C$20,IF(M73&lt;Paramètres!$B$21,Paramètres!$C$21,Paramètres!$C$22))))))))),M73),"")</f>
        <v>De 35 à 39 ans</v>
      </c>
      <c r="R73" s="1">
        <f t="shared" si="10"/>
        <v>1</v>
      </c>
      <c r="S73" s="31">
        <f t="shared" ca="1" si="11"/>
        <v>17.333333333333332</v>
      </c>
      <c r="T73" s="1" t="str">
        <f ca="1">IF(K73=1,IF(Paramètres!$E$25,IF(S73&lt;Paramètres!$B$29,Paramètres!$C$29,IF(S73&lt;Paramètres!$B$30,Paramètres!$C$30,IF(S73&lt;Paramètres!$B$31,Paramètres!$C$31,IF(S73&lt;Paramètres!$B$32,Paramètres!$C$32,IF(S73&lt;Paramètres!$B$33,Paramètres!$C$33,IF(S73&lt;Paramètres!$B$34,Paramètres!$C$34,IF(S73&lt;Paramètres!$B$35,Paramètres!$C$35,IF(S73&lt;Paramètres!$B$36,Paramètres!$C$36,IF(S73&lt;Paramètres!$B$37,Paramètres!$C$37,Paramètres!$C$38))))))))),[3]Données!P518),"")</f>
        <v>De 15 à 19 ans</v>
      </c>
    </row>
    <row r="74" spans="1:20" x14ac:dyDescent="0.25">
      <c r="A74" s="47">
        <v>1185</v>
      </c>
      <c r="B74" s="47" t="s">
        <v>174</v>
      </c>
      <c r="C74" s="47" t="s">
        <v>175</v>
      </c>
      <c r="D74" s="47" t="s">
        <v>36</v>
      </c>
      <c r="E74" s="47" t="s">
        <v>55</v>
      </c>
      <c r="F74" s="48">
        <v>40360</v>
      </c>
      <c r="G74" s="49" t="s">
        <v>92</v>
      </c>
      <c r="H74" s="48">
        <v>31393</v>
      </c>
      <c r="I74" s="48">
        <f t="shared" si="8"/>
        <v>53308</v>
      </c>
      <c r="J74" s="48">
        <v>45702</v>
      </c>
      <c r="K74" s="84">
        <v>0</v>
      </c>
      <c r="L74" s="48" t="s">
        <v>142</v>
      </c>
      <c r="M74" s="5">
        <f t="shared" ca="1" si="9"/>
        <v>0</v>
      </c>
      <c r="N74" s="43" t="s">
        <v>39</v>
      </c>
      <c r="O74" s="43"/>
      <c r="P74" s="1" t="s">
        <v>40</v>
      </c>
      <c r="Q74" s="30" t="str">
        <f>IF(K74=1,IF(Paramètres!$E$9,IF(M74&lt;Paramètres!$B$13,Paramètres!$C$13,IF(M74&lt;Paramètres!$B$14,Paramètres!$C$14,IF(M74&lt;Paramètres!$B$15,Paramètres!$C$15,IF(M74&lt;Paramètres!$B$16,Paramètres!$C$16,IF(M74&lt;Paramètres!$B$17,Paramètres!$C$17,IF(M74&lt;Paramètres!$B$18,Paramètres!$C$18,IF(M74&lt;Paramètres!$B$19,Paramètres!$C$19,IF(M74&lt;Paramètres!$B$20,Paramètres!$C$20,IF(M74&lt;Paramètres!$B$21,Paramètres!$C$21,Paramètres!$C$22))))))))),M74),"")</f>
        <v/>
      </c>
      <c r="R74" s="1">
        <f t="shared" si="10"/>
        <v>1</v>
      </c>
      <c r="S74" s="31">
        <f t="shared" ca="1" si="11"/>
        <v>0</v>
      </c>
      <c r="T74" s="1" t="str">
        <f>IF(K74=1,IF(Paramètres!$E$25,IF(S74&lt;Paramètres!$B$29,Paramètres!$C$29,IF(S74&lt;Paramètres!$B$30,Paramètres!$C$30,IF(S74&lt;Paramètres!$B$31,Paramètres!$C$31,IF(S74&lt;Paramètres!$B$32,Paramètres!$C$32,IF(S74&lt;Paramètres!$B$33,Paramètres!$C$33,IF(S74&lt;Paramètres!$B$34,Paramètres!$C$34,IF(S74&lt;Paramètres!$B$35,Paramètres!$C$35,IF(S74&lt;Paramètres!$B$36,Paramètres!$C$36,IF(S74&lt;Paramètres!$B$37,Paramètres!$C$37,Paramètres!$C$38))))))))),[3]Données!P606),"")</f>
        <v/>
      </c>
    </row>
    <row r="75" spans="1:20" hidden="1" x14ac:dyDescent="0.25">
      <c r="A75" s="47">
        <v>1195</v>
      </c>
      <c r="B75" s="47" t="s">
        <v>176</v>
      </c>
      <c r="C75" s="47" t="s">
        <v>177</v>
      </c>
      <c r="D75" s="47" t="s">
        <v>36</v>
      </c>
      <c r="E75" s="47" t="s">
        <v>37</v>
      </c>
      <c r="F75" s="48">
        <v>40422</v>
      </c>
      <c r="G75" s="49" t="s">
        <v>92</v>
      </c>
      <c r="H75" s="48">
        <v>32377</v>
      </c>
      <c r="I75" s="48">
        <f t="shared" si="8"/>
        <v>54292</v>
      </c>
      <c r="J75" s="48"/>
      <c r="K75" s="84">
        <v>1</v>
      </c>
      <c r="L75" s="48"/>
      <c r="M75" s="5">
        <f t="shared" ca="1" si="9"/>
        <v>37.833333333333336</v>
      </c>
      <c r="N75" s="43" t="s">
        <v>39</v>
      </c>
      <c r="O75" s="43" t="s">
        <v>2</v>
      </c>
      <c r="P75" s="1" t="s">
        <v>40</v>
      </c>
      <c r="Q75" s="30" t="str">
        <f ca="1">IF(K75=1,IF(Paramètres!$E$9,IF(M75&lt;Paramètres!$B$13,Paramètres!$C$13,IF(M75&lt;Paramètres!$B$14,Paramètres!$C$14,IF(M75&lt;Paramètres!$B$15,Paramètres!$C$15,IF(M75&lt;Paramètres!$B$16,Paramètres!$C$16,IF(M75&lt;Paramètres!$B$17,Paramètres!$C$17,IF(M75&lt;Paramètres!$B$18,Paramètres!$C$18,IF(M75&lt;Paramètres!$B$19,Paramètres!$C$19,IF(M75&lt;Paramètres!$B$20,Paramètres!$C$20,IF(M75&lt;Paramètres!$B$21,Paramètres!$C$21,Paramètres!$C$22))))))))),M75),"")</f>
        <v>De 35 à 39 ans</v>
      </c>
      <c r="R75" s="1">
        <f t="shared" si="10"/>
        <v>1</v>
      </c>
      <c r="S75" s="31">
        <f t="shared" ca="1" si="11"/>
        <v>15.833333333333334</v>
      </c>
      <c r="T75" s="1" t="str">
        <f ca="1">IF(K75=1,IF(Paramètres!$E$25,IF(S75&lt;Paramètres!$B$29,Paramètres!$C$29,IF(S75&lt;Paramètres!$B$30,Paramètres!$C$30,IF(S75&lt;Paramètres!$B$31,Paramètres!$C$31,IF(S75&lt;Paramètres!$B$32,Paramètres!$C$32,IF(S75&lt;Paramètres!$B$33,Paramètres!$C$33,IF(S75&lt;Paramètres!$B$34,Paramètres!$C$34,IF(S75&lt;Paramètres!$B$35,Paramètres!$C$35,IF(S75&lt;Paramètres!$B$36,Paramètres!$C$36,IF(S75&lt;Paramètres!$B$37,Paramètres!$C$37,Paramètres!$C$38))))))))),[3]Données!P519),"")</f>
        <v>De 15 à 19 ans</v>
      </c>
    </row>
    <row r="76" spans="1:20" hidden="1" x14ac:dyDescent="0.25">
      <c r="A76" s="47">
        <v>1198</v>
      </c>
      <c r="B76" s="47" t="s">
        <v>178</v>
      </c>
      <c r="C76" s="47" t="s">
        <v>179</v>
      </c>
      <c r="D76" s="47" t="s">
        <v>36</v>
      </c>
      <c r="E76" s="47" t="s">
        <v>37</v>
      </c>
      <c r="F76" s="48">
        <v>40452</v>
      </c>
      <c r="G76" s="49" t="s">
        <v>43</v>
      </c>
      <c r="H76" s="48">
        <v>31999</v>
      </c>
      <c r="I76" s="48">
        <f t="shared" si="8"/>
        <v>53914</v>
      </c>
      <c r="J76" s="48"/>
      <c r="K76" s="84">
        <v>1</v>
      </c>
      <c r="L76" s="48"/>
      <c r="M76" s="5">
        <f t="shared" ca="1" si="9"/>
        <v>38.833333333333336</v>
      </c>
      <c r="N76" s="43" t="s">
        <v>180</v>
      </c>
      <c r="O76" s="43" t="s">
        <v>2</v>
      </c>
      <c r="P76" s="1" t="s">
        <v>40</v>
      </c>
      <c r="Q76" s="30" t="str">
        <f ca="1">IF(K76=1,IF(Paramètres!$E$9,IF(M76&lt;Paramètres!$B$13,Paramètres!$C$13,IF(M76&lt;Paramètres!$B$14,Paramètres!$C$14,IF(M76&lt;Paramètres!$B$15,Paramètres!$C$15,IF(M76&lt;Paramètres!$B$16,Paramètres!$C$16,IF(M76&lt;Paramètres!$B$17,Paramètres!$C$17,IF(M76&lt;Paramètres!$B$18,Paramètres!$C$18,IF(M76&lt;Paramètres!$B$19,Paramètres!$C$19,IF(M76&lt;Paramètres!$B$20,Paramètres!$C$20,IF(M76&lt;Paramètres!$B$21,Paramètres!$C$21,Paramètres!$C$22))))))))),M76),"")</f>
        <v>De 35 à 39 ans</v>
      </c>
      <c r="R76" s="1">
        <f t="shared" si="10"/>
        <v>2</v>
      </c>
      <c r="S76" s="31">
        <f t="shared" ca="1" si="11"/>
        <v>15.75</v>
      </c>
      <c r="T76" s="1" t="str">
        <f ca="1">IF(K76=1,IF(Paramètres!$E$25,IF(S76&lt;Paramètres!$B$29,Paramètres!$C$29,IF(S76&lt;Paramètres!$B$30,Paramètres!$C$30,IF(S76&lt;Paramètres!$B$31,Paramètres!$C$31,IF(S76&lt;Paramètres!$B$32,Paramètres!$C$32,IF(S76&lt;Paramètres!$B$33,Paramètres!$C$33,IF(S76&lt;Paramètres!$B$34,Paramètres!$C$34,IF(S76&lt;Paramètres!$B$35,Paramètres!$C$35,IF(S76&lt;Paramètres!$B$36,Paramètres!$C$36,IF(S76&lt;Paramètres!$B$37,Paramètres!$C$37,Paramètres!$C$38))))))))),[3]Données!P520),"")</f>
        <v>De 15 à 19 ans</v>
      </c>
    </row>
    <row r="77" spans="1:20" hidden="1" x14ac:dyDescent="0.25">
      <c r="A77" s="44">
        <v>1204</v>
      </c>
      <c r="B77" s="44" t="s">
        <v>181</v>
      </c>
      <c r="C77" s="44" t="s">
        <v>182</v>
      </c>
      <c r="D77" s="44" t="s">
        <v>36</v>
      </c>
      <c r="E77" s="47" t="s">
        <v>55</v>
      </c>
      <c r="F77" s="45">
        <v>40513</v>
      </c>
      <c r="G77" s="46" t="s">
        <v>53</v>
      </c>
      <c r="H77" s="45">
        <v>31666</v>
      </c>
      <c r="I77" s="48">
        <f t="shared" si="8"/>
        <v>53581</v>
      </c>
      <c r="J77" s="48"/>
      <c r="K77" s="84">
        <v>1</v>
      </c>
      <c r="L77" s="48"/>
      <c r="M77" s="5">
        <f t="shared" ca="1" si="9"/>
        <v>39.75</v>
      </c>
      <c r="N77" s="42" t="s">
        <v>39</v>
      </c>
      <c r="O77" s="43" t="s">
        <v>2</v>
      </c>
      <c r="P77" s="1" t="s">
        <v>40</v>
      </c>
      <c r="Q77" s="30" t="str">
        <f ca="1">IF(K77=1,IF(Paramètres!$E$9,IF(M77&lt;Paramètres!$B$13,Paramètres!$C$13,IF(M77&lt;Paramètres!$B$14,Paramètres!$C$14,IF(M77&lt;Paramètres!$B$15,Paramètres!$C$15,IF(M77&lt;Paramètres!$B$16,Paramètres!$C$16,IF(M77&lt;Paramètres!$B$17,Paramètres!$C$17,IF(M77&lt;Paramètres!$B$18,Paramètres!$C$18,IF(M77&lt;Paramètres!$B$19,Paramètres!$C$19,IF(M77&lt;Paramètres!$B$20,Paramètres!$C$20,IF(M77&lt;Paramètres!$B$21,Paramètres!$C$21,Paramètres!$C$22))))))))),M77),"")</f>
        <v>De 35 à 39 ans</v>
      </c>
      <c r="R77" s="1">
        <f t="shared" si="10"/>
        <v>1</v>
      </c>
      <c r="S77" s="31">
        <f t="shared" ca="1" si="11"/>
        <v>15.583333333333334</v>
      </c>
      <c r="T77" s="1" t="str">
        <f ca="1">IF(K77=1,IF(Paramètres!$E$25,IF(S77&lt;Paramètres!$B$29,Paramètres!$C$29,IF(S77&lt;Paramètres!$B$30,Paramètres!$C$30,IF(S77&lt;Paramètres!$B$31,Paramètres!$C$31,IF(S77&lt;Paramètres!$B$32,Paramètres!$C$32,IF(S77&lt;Paramètres!$B$33,Paramètres!$C$33,IF(S77&lt;Paramètres!$B$34,Paramètres!$C$34,IF(S77&lt;Paramètres!$B$35,Paramètres!$C$35,IF(S77&lt;Paramètres!$B$36,Paramètres!$C$36,IF(S77&lt;Paramètres!$B$37,Paramètres!$C$37,Paramètres!$C$38))))))))),[3]Données!P521),"")</f>
        <v>De 15 à 19 ans</v>
      </c>
    </row>
    <row r="78" spans="1:20" hidden="1" x14ac:dyDescent="0.25">
      <c r="A78" s="47">
        <v>1205</v>
      </c>
      <c r="B78" s="47" t="s">
        <v>183</v>
      </c>
      <c r="C78" s="47" t="s">
        <v>184</v>
      </c>
      <c r="D78" s="47" t="s">
        <v>36</v>
      </c>
      <c r="E78" s="47" t="s">
        <v>162</v>
      </c>
      <c r="F78" s="48">
        <v>40513</v>
      </c>
      <c r="G78" s="49" t="s">
        <v>185</v>
      </c>
      <c r="H78" s="48">
        <v>30318</v>
      </c>
      <c r="I78" s="48">
        <f t="shared" si="8"/>
        <v>52233</v>
      </c>
      <c r="J78" s="48"/>
      <c r="K78" s="84">
        <v>1</v>
      </c>
      <c r="L78" s="48"/>
      <c r="M78" s="5">
        <f t="shared" ca="1" si="9"/>
        <v>43.5</v>
      </c>
      <c r="N78" s="43" t="s">
        <v>39</v>
      </c>
      <c r="O78" s="43" t="s">
        <v>2</v>
      </c>
      <c r="P78" s="1" t="s">
        <v>40</v>
      </c>
      <c r="Q78" s="30" t="str">
        <f ca="1">IF(K78=1,IF(Paramètres!$E$9,IF(M78&lt;Paramètres!$B$13,Paramètres!$C$13,IF(M78&lt;Paramètres!$B$14,Paramètres!$C$14,IF(M78&lt;Paramètres!$B$15,Paramètres!$C$15,IF(M78&lt;Paramètres!$B$16,Paramètres!$C$16,IF(M78&lt;Paramètres!$B$17,Paramètres!$C$17,IF(M78&lt;Paramètres!$B$18,Paramètres!$C$18,IF(M78&lt;Paramètres!$B$19,Paramètres!$C$19,IF(M78&lt;Paramètres!$B$20,Paramètres!$C$20,IF(M78&lt;Paramètres!$B$21,Paramètres!$C$21,Paramètres!$C$22))))))))),M78),"")</f>
        <v>De 40 à 44 ans</v>
      </c>
      <c r="R78" s="1">
        <f t="shared" si="10"/>
        <v>1</v>
      </c>
      <c r="S78" s="31">
        <f t="shared" ca="1" si="11"/>
        <v>15.583333333333334</v>
      </c>
      <c r="T78" s="1" t="str">
        <f ca="1">IF(K78=1,IF(Paramètres!$E$25,IF(S78&lt;Paramètres!$B$29,Paramètres!$C$29,IF(S78&lt;Paramètres!$B$30,Paramètres!$C$30,IF(S78&lt;Paramètres!$B$31,Paramètres!$C$31,IF(S78&lt;Paramètres!$B$32,Paramètres!$C$32,IF(S78&lt;Paramètres!$B$33,Paramètres!$C$33,IF(S78&lt;Paramètres!$B$34,Paramètres!$C$34,IF(S78&lt;Paramètres!$B$35,Paramètres!$C$35,IF(S78&lt;Paramètres!$B$36,Paramètres!$C$36,IF(S78&lt;Paramètres!$B$37,Paramètres!$C$37,Paramètres!$C$38))))))))),[3]Données!P522),"")</f>
        <v>De 15 à 19 ans</v>
      </c>
    </row>
    <row r="79" spans="1:20" hidden="1" x14ac:dyDescent="0.25">
      <c r="A79" s="44">
        <v>1208</v>
      </c>
      <c r="B79" s="44" t="s">
        <v>186</v>
      </c>
      <c r="C79" s="44" t="s">
        <v>42</v>
      </c>
      <c r="D79" s="44" t="s">
        <v>36</v>
      </c>
      <c r="E79" s="47" t="s">
        <v>37</v>
      </c>
      <c r="F79" s="45">
        <v>40546</v>
      </c>
      <c r="G79" s="46" t="s">
        <v>160</v>
      </c>
      <c r="H79" s="45">
        <v>30497</v>
      </c>
      <c r="I79" s="48">
        <f t="shared" si="8"/>
        <v>52412</v>
      </c>
      <c r="J79" s="48"/>
      <c r="K79" s="84">
        <v>1</v>
      </c>
      <c r="L79" s="48"/>
      <c r="M79" s="5">
        <f t="shared" ca="1" si="9"/>
        <v>43</v>
      </c>
      <c r="N79" s="42" t="s">
        <v>39</v>
      </c>
      <c r="O79" s="43" t="s">
        <v>2</v>
      </c>
      <c r="P79" s="1" t="s">
        <v>40</v>
      </c>
      <c r="Q79" s="30" t="str">
        <f ca="1">IF(K79=1,IF(Paramètres!$E$9,IF(M79&lt;Paramètres!$B$13,Paramètres!$C$13,IF(M79&lt;Paramètres!$B$14,Paramètres!$C$14,IF(M79&lt;Paramètres!$B$15,Paramètres!$C$15,IF(M79&lt;Paramètres!$B$16,Paramètres!$C$16,IF(M79&lt;Paramètres!$B$17,Paramètres!$C$17,IF(M79&lt;Paramètres!$B$18,Paramètres!$C$18,IF(M79&lt;Paramètres!$B$19,Paramètres!$C$19,IF(M79&lt;Paramètres!$B$20,Paramètres!$C$20,IF(M79&lt;Paramètres!$B$21,Paramètres!$C$21,Paramètres!$C$22))))))))),M79),"")</f>
        <v>De 40 à 44 ans</v>
      </c>
      <c r="R79" s="1">
        <f t="shared" si="10"/>
        <v>1</v>
      </c>
      <c r="S79" s="31">
        <f t="shared" ca="1" si="11"/>
        <v>15.5</v>
      </c>
      <c r="T79" s="1" t="str">
        <f ca="1">IF(K79=1,IF(Paramètres!$E$25,IF(S79&lt;Paramètres!$B$29,Paramètres!$C$29,IF(S79&lt;Paramètres!$B$30,Paramètres!$C$30,IF(S79&lt;Paramètres!$B$31,Paramètres!$C$31,IF(S79&lt;Paramètres!$B$32,Paramètres!$C$32,IF(S79&lt;Paramètres!$B$33,Paramètres!$C$33,IF(S79&lt;Paramètres!$B$34,Paramètres!$C$34,IF(S79&lt;Paramètres!$B$35,Paramètres!$C$35,IF(S79&lt;Paramètres!$B$36,Paramètres!$C$36,IF(S79&lt;Paramètres!$B$37,Paramètres!$C$37,Paramètres!$C$38))))))))),[3]Données!P523),"")</f>
        <v>De 15 à 19 ans</v>
      </c>
    </row>
    <row r="80" spans="1:20" x14ac:dyDescent="0.25">
      <c r="A80" s="47">
        <v>1210</v>
      </c>
      <c r="B80" s="47" t="s">
        <v>187</v>
      </c>
      <c r="C80" s="47" t="s">
        <v>188</v>
      </c>
      <c r="D80" s="47" t="s">
        <v>36</v>
      </c>
      <c r="E80" s="47" t="s">
        <v>37</v>
      </c>
      <c r="F80" s="48">
        <v>40634</v>
      </c>
      <c r="G80" s="49" t="s">
        <v>75</v>
      </c>
      <c r="H80" s="48">
        <v>31025</v>
      </c>
      <c r="I80" s="48">
        <f t="shared" si="8"/>
        <v>52940</v>
      </c>
      <c r="J80" s="48">
        <v>45898</v>
      </c>
      <c r="K80" s="84">
        <v>0</v>
      </c>
      <c r="L80" s="48" t="s">
        <v>142</v>
      </c>
      <c r="M80" s="5">
        <f t="shared" ca="1" si="9"/>
        <v>0</v>
      </c>
      <c r="N80" s="43" t="s">
        <v>39</v>
      </c>
      <c r="O80" s="43"/>
      <c r="P80" s="1" t="s">
        <v>40</v>
      </c>
      <c r="Q80" s="30" t="str">
        <f>IF(K80=1,IF(Paramètres!$E$9,IF(M80&lt;Paramètres!$B$13,Paramètres!$C$13,IF(M80&lt;Paramètres!$B$14,Paramètres!$C$14,IF(M80&lt;Paramètres!$B$15,Paramètres!$C$15,IF(M80&lt;Paramètres!$B$16,Paramètres!$C$16,IF(M80&lt;Paramètres!$B$17,Paramètres!$C$17,IF(M80&lt;Paramètres!$B$18,Paramètres!$C$18,IF(M80&lt;Paramètres!$B$19,Paramètres!$C$19,IF(M80&lt;Paramètres!$B$20,Paramètres!$C$20,IF(M80&lt;Paramètres!$B$21,Paramètres!$C$21,Paramètres!$C$22))))))))),M80),"")</f>
        <v/>
      </c>
      <c r="R80" s="1">
        <f t="shared" si="10"/>
        <v>1</v>
      </c>
      <c r="S80" s="31">
        <f t="shared" ca="1" si="11"/>
        <v>0</v>
      </c>
      <c r="T80" s="1" t="str">
        <f>IF(K80=1,IF(Paramètres!$E$25,IF(S80&lt;Paramètres!$B$29,Paramètres!$C$29,IF(S80&lt;Paramètres!$B$30,Paramètres!$C$30,IF(S80&lt;Paramètres!$B$31,Paramètres!$C$31,IF(S80&lt;Paramètres!$B$32,Paramètres!$C$32,IF(S80&lt;Paramètres!$B$33,Paramètres!$C$33,IF(S80&lt;Paramètres!$B$34,Paramètres!$C$34,IF(S80&lt;Paramètres!$B$35,Paramètres!$C$35,IF(S80&lt;Paramètres!$B$36,Paramètres!$C$36,IF(S80&lt;Paramètres!$B$37,Paramètres!$C$37,Paramètres!$C$38))))))))),[3]Données!P607),"")</f>
        <v/>
      </c>
    </row>
    <row r="81" spans="1:20" hidden="1" x14ac:dyDescent="0.25">
      <c r="A81" s="44">
        <v>1271</v>
      </c>
      <c r="B81" s="44" t="s">
        <v>189</v>
      </c>
      <c r="C81" s="44" t="s">
        <v>42</v>
      </c>
      <c r="D81" s="44" t="s">
        <v>36</v>
      </c>
      <c r="E81" s="47" t="s">
        <v>55</v>
      </c>
      <c r="F81" s="45">
        <v>41353</v>
      </c>
      <c r="G81" s="46" t="s">
        <v>82</v>
      </c>
      <c r="H81" s="45">
        <v>32205</v>
      </c>
      <c r="I81" s="48">
        <f t="shared" si="8"/>
        <v>54120</v>
      </c>
      <c r="J81" s="48"/>
      <c r="K81" s="84">
        <v>1</v>
      </c>
      <c r="L81" s="48"/>
      <c r="M81" s="5">
        <f t="shared" ca="1" si="9"/>
        <v>38.333333333333336</v>
      </c>
      <c r="N81" s="42" t="s">
        <v>39</v>
      </c>
      <c r="O81" s="43" t="s">
        <v>2</v>
      </c>
      <c r="P81" s="1" t="s">
        <v>40</v>
      </c>
      <c r="Q81" s="30" t="str">
        <f ca="1">IF(K81=1,IF(Paramètres!$E$9,IF(M81&lt;Paramètres!$B$13,Paramètres!$C$13,IF(M81&lt;Paramètres!$B$14,Paramètres!$C$14,IF(M81&lt;Paramètres!$B$15,Paramètres!$C$15,IF(M81&lt;Paramètres!$B$16,Paramètres!$C$16,IF(M81&lt;Paramètres!$B$17,Paramètres!$C$17,IF(M81&lt;Paramètres!$B$18,Paramètres!$C$18,IF(M81&lt;Paramètres!$B$19,Paramètres!$C$19,IF(M81&lt;Paramètres!$B$20,Paramètres!$C$20,IF(M81&lt;Paramètres!$B$21,Paramètres!$C$21,Paramètres!$C$22))))))))),M81),"")</f>
        <v>De 35 à 39 ans</v>
      </c>
      <c r="R81" s="1">
        <f t="shared" si="10"/>
        <v>1</v>
      </c>
      <c r="S81" s="31">
        <f t="shared" ca="1" si="11"/>
        <v>13.25</v>
      </c>
      <c r="T81" s="1" t="str">
        <f ca="1">IF(K81=1,IF(Paramètres!$E$25,IF(S81&lt;Paramètres!$B$29,Paramètres!$C$29,IF(S81&lt;Paramètres!$B$30,Paramètres!$C$30,IF(S81&lt;Paramètres!$B$31,Paramètres!$C$31,IF(S81&lt;Paramètres!$B$32,Paramètres!$C$32,IF(S81&lt;Paramètres!$B$33,Paramètres!$C$33,IF(S81&lt;Paramètres!$B$34,Paramètres!$C$34,IF(S81&lt;Paramètres!$B$35,Paramètres!$C$35,IF(S81&lt;Paramètres!$B$36,Paramètres!$C$36,IF(S81&lt;Paramètres!$B$37,Paramètres!$C$37,Paramètres!$C$38))))))))),[3]Données!P524),"")</f>
        <v>De 11 à 14 ans</v>
      </c>
    </row>
    <row r="82" spans="1:20" hidden="1" x14ac:dyDescent="0.25">
      <c r="A82" s="47">
        <v>1272</v>
      </c>
      <c r="B82" s="47" t="s">
        <v>190</v>
      </c>
      <c r="C82" s="47" t="s">
        <v>49</v>
      </c>
      <c r="D82" s="47" t="s">
        <v>36</v>
      </c>
      <c r="E82" s="47" t="s">
        <v>37</v>
      </c>
      <c r="F82" s="48">
        <v>41353</v>
      </c>
      <c r="G82" s="49" t="s">
        <v>82</v>
      </c>
      <c r="H82" s="48">
        <v>32793</v>
      </c>
      <c r="I82" s="48">
        <f t="shared" si="8"/>
        <v>54708</v>
      </c>
      <c r="J82" s="48"/>
      <c r="K82" s="84">
        <v>1</v>
      </c>
      <c r="L82" s="48"/>
      <c r="M82" s="5">
        <f t="shared" ca="1" si="9"/>
        <v>36.666666666666664</v>
      </c>
      <c r="N82" s="43" t="s">
        <v>39</v>
      </c>
      <c r="O82" s="43" t="s">
        <v>2</v>
      </c>
      <c r="P82" s="1" t="s">
        <v>40</v>
      </c>
      <c r="Q82" s="30" t="str">
        <f ca="1">IF(K82=1,IF(Paramètres!$E$9,IF(M82&lt;Paramètres!$B$13,Paramètres!$C$13,IF(M82&lt;Paramètres!$B$14,Paramètres!$C$14,IF(M82&lt;Paramètres!$B$15,Paramètres!$C$15,IF(M82&lt;Paramètres!$B$16,Paramètres!$C$16,IF(M82&lt;Paramètres!$B$17,Paramètres!$C$17,IF(M82&lt;Paramètres!$B$18,Paramètres!$C$18,IF(M82&lt;Paramètres!$B$19,Paramètres!$C$19,IF(M82&lt;Paramètres!$B$20,Paramètres!$C$20,IF(M82&lt;Paramètres!$B$21,Paramètres!$C$21,Paramètres!$C$22))))))))),M82),"")</f>
        <v>De 35 à 39 ans</v>
      </c>
      <c r="R82" s="1">
        <f t="shared" si="10"/>
        <v>1</v>
      </c>
      <c r="S82" s="31">
        <f t="shared" ca="1" si="11"/>
        <v>13.25</v>
      </c>
      <c r="T82" s="1" t="str">
        <f ca="1">IF(K82=1,IF(Paramètres!$E$25,IF(S82&lt;Paramètres!$B$29,Paramètres!$C$29,IF(S82&lt;Paramètres!$B$30,Paramètres!$C$30,IF(S82&lt;Paramètres!$B$31,Paramètres!$C$31,IF(S82&lt;Paramètres!$B$32,Paramètres!$C$32,IF(S82&lt;Paramètres!$B$33,Paramètres!$C$33,IF(S82&lt;Paramètres!$B$34,Paramètres!$C$34,IF(S82&lt;Paramètres!$B$35,Paramètres!$C$35,IF(S82&lt;Paramètres!$B$36,Paramètres!$C$36,IF(S82&lt;Paramètres!$B$37,Paramètres!$C$37,Paramètres!$C$38))))))))),[3]Données!P525),"")</f>
        <v>De 11 à 14 ans</v>
      </c>
    </row>
    <row r="83" spans="1:20" hidden="1" x14ac:dyDescent="0.25">
      <c r="A83" s="47">
        <v>1280</v>
      </c>
      <c r="B83" s="47" t="s">
        <v>191</v>
      </c>
      <c r="C83" s="47" t="s">
        <v>46</v>
      </c>
      <c r="D83" s="47" t="s">
        <v>36</v>
      </c>
      <c r="E83" s="47" t="s">
        <v>37</v>
      </c>
      <c r="F83" s="48">
        <v>41981</v>
      </c>
      <c r="G83" s="49" t="s">
        <v>192</v>
      </c>
      <c r="H83" s="48">
        <v>26299</v>
      </c>
      <c r="I83" s="48">
        <f t="shared" si="8"/>
        <v>48214</v>
      </c>
      <c r="J83" s="48"/>
      <c r="K83" s="84">
        <v>1</v>
      </c>
      <c r="L83" s="48"/>
      <c r="M83" s="5">
        <f t="shared" ca="1" si="9"/>
        <v>54.5</v>
      </c>
      <c r="N83" s="43" t="s">
        <v>39</v>
      </c>
      <c r="O83" s="43" t="s">
        <v>2</v>
      </c>
      <c r="P83" s="1" t="s">
        <v>40</v>
      </c>
      <c r="Q83" s="30" t="str">
        <f ca="1">IF(K83=1,IF(Paramètres!$E$9,IF(M83&lt;Paramètres!$B$13,Paramètres!$C$13,IF(M83&lt;Paramètres!$B$14,Paramètres!$C$14,IF(M83&lt;Paramètres!$B$15,Paramètres!$C$15,IF(M83&lt;Paramètres!$B$16,Paramètres!$C$16,IF(M83&lt;Paramètres!$B$17,Paramètres!$C$17,IF(M83&lt;Paramètres!$B$18,Paramètres!$C$18,IF(M83&lt;Paramètres!$B$19,Paramètres!$C$19,IF(M83&lt;Paramètres!$B$20,Paramètres!$C$20,IF(M83&lt;Paramètres!$B$21,Paramètres!$C$21,Paramètres!$C$22))))))))),M83),"")</f>
        <v>De 50 à 54 ans</v>
      </c>
      <c r="R83" s="1">
        <f t="shared" si="10"/>
        <v>1</v>
      </c>
      <c r="S83" s="31">
        <f t="shared" ca="1" si="11"/>
        <v>11.5</v>
      </c>
      <c r="T83" s="1" t="str">
        <f ca="1">IF(K83=1,IF(Paramètres!$E$25,IF(S83&lt;Paramètres!$B$29,Paramètres!$C$29,IF(S83&lt;Paramètres!$B$30,Paramètres!$C$30,IF(S83&lt;Paramètres!$B$31,Paramètres!$C$31,IF(S83&lt;Paramètres!$B$32,Paramètres!$C$32,IF(S83&lt;Paramètres!$B$33,Paramètres!$C$33,IF(S83&lt;Paramètres!$B$34,Paramètres!$C$34,IF(S83&lt;Paramètres!$B$35,Paramètres!$C$35,IF(S83&lt;Paramètres!$B$36,Paramètres!$C$36,IF(S83&lt;Paramètres!$B$37,Paramètres!$C$37,Paramètres!$C$38))))))))),[3]Données!P526),"")</f>
        <v>De 11 à 14 ans</v>
      </c>
    </row>
    <row r="84" spans="1:20" x14ac:dyDescent="0.25">
      <c r="A84" s="44">
        <v>1299</v>
      </c>
      <c r="B84" s="44" t="s">
        <v>193</v>
      </c>
      <c r="C84" s="44" t="s">
        <v>140</v>
      </c>
      <c r="D84" s="44" t="s">
        <v>36</v>
      </c>
      <c r="E84" s="47" t="s">
        <v>37</v>
      </c>
      <c r="F84" s="45">
        <v>42310</v>
      </c>
      <c r="G84" s="46" t="s">
        <v>71</v>
      </c>
      <c r="H84" s="45">
        <v>31065</v>
      </c>
      <c r="I84" s="48">
        <f t="shared" si="8"/>
        <v>52980</v>
      </c>
      <c r="J84" s="48">
        <v>45838</v>
      </c>
      <c r="K84" s="84">
        <v>0</v>
      </c>
      <c r="L84" s="48" t="s">
        <v>142</v>
      </c>
      <c r="M84" s="5">
        <f t="shared" ca="1" si="9"/>
        <v>0</v>
      </c>
      <c r="N84" s="42" t="s">
        <v>39</v>
      </c>
      <c r="O84" s="42"/>
      <c r="P84" s="1" t="s">
        <v>40</v>
      </c>
      <c r="Q84" s="30" t="str">
        <f>IF(K84=1,IF(Paramètres!$E$9,IF(M84&lt;Paramètres!$B$13,Paramètres!$C$13,IF(M84&lt;Paramètres!$B$14,Paramètres!$C$14,IF(M84&lt;Paramètres!$B$15,Paramètres!$C$15,IF(M84&lt;Paramètres!$B$16,Paramètres!$C$16,IF(M84&lt;Paramètres!$B$17,Paramètres!$C$17,IF(M84&lt;Paramètres!$B$18,Paramètres!$C$18,IF(M84&lt;Paramètres!$B$19,Paramètres!$C$19,IF(M84&lt;Paramètres!$B$20,Paramètres!$C$20,IF(M84&lt;Paramètres!$B$21,Paramètres!$C$21,Paramètres!$C$22))))))))),M84),"")</f>
        <v/>
      </c>
      <c r="R84" s="1">
        <f t="shared" si="10"/>
        <v>1</v>
      </c>
      <c r="S84" s="31">
        <f t="shared" ca="1" si="11"/>
        <v>0</v>
      </c>
      <c r="T84" s="1" t="str">
        <f>IF(K84=1,IF(Paramètres!$E$25,IF(S84&lt;Paramètres!$B$29,Paramètres!$C$29,IF(S84&lt;Paramètres!$B$30,Paramètres!$C$30,IF(S84&lt;Paramètres!$B$31,Paramètres!$C$31,IF(S84&lt;Paramètres!$B$32,Paramètres!$C$32,IF(S84&lt;Paramètres!$B$33,Paramètres!$C$33,IF(S84&lt;Paramètres!$B$34,Paramètres!$C$34,IF(S84&lt;Paramètres!$B$35,Paramètres!$C$35,IF(S84&lt;Paramètres!$B$36,Paramètres!$C$36,IF(S84&lt;Paramètres!$B$37,Paramètres!$C$37,Paramètres!$C$38))))))))),[3]Données!P608),"")</f>
        <v/>
      </c>
    </row>
    <row r="85" spans="1:20" hidden="1" x14ac:dyDescent="0.25">
      <c r="A85" s="44">
        <v>1358</v>
      </c>
      <c r="B85" s="44" t="s">
        <v>194</v>
      </c>
      <c r="C85" s="44" t="s">
        <v>195</v>
      </c>
      <c r="D85" s="44" t="s">
        <v>36</v>
      </c>
      <c r="E85" s="44" t="s">
        <v>162</v>
      </c>
      <c r="F85" s="45">
        <v>43346</v>
      </c>
      <c r="G85" s="46" t="s">
        <v>92</v>
      </c>
      <c r="H85" s="45">
        <v>34216</v>
      </c>
      <c r="I85" s="48">
        <f t="shared" si="8"/>
        <v>56131</v>
      </c>
      <c r="J85" s="48"/>
      <c r="K85" s="84">
        <v>1</v>
      </c>
      <c r="L85" s="48"/>
      <c r="M85" s="5">
        <f t="shared" ca="1" si="9"/>
        <v>32.833333333333336</v>
      </c>
      <c r="N85" s="42" t="s">
        <v>39</v>
      </c>
      <c r="O85" s="43" t="s">
        <v>2</v>
      </c>
      <c r="P85" s="1" t="s">
        <v>40</v>
      </c>
      <c r="Q85" s="30" t="str">
        <f ca="1">IF(K85=1,IF(Paramètres!$E$9,IF(M85&lt;Paramètres!$B$13,Paramètres!$C$13,IF(M85&lt;Paramètres!$B$14,Paramètres!$C$14,IF(M85&lt;Paramètres!$B$15,Paramètres!$C$15,IF(M85&lt;Paramètres!$B$16,Paramètres!$C$16,IF(M85&lt;Paramètres!$B$17,Paramètres!$C$17,IF(M85&lt;Paramètres!$B$18,Paramètres!$C$18,IF(M85&lt;Paramètres!$B$19,Paramètres!$C$19,IF(M85&lt;Paramètres!$B$20,Paramètres!$C$20,IF(M85&lt;Paramètres!$B$21,Paramètres!$C$21,Paramètres!$C$22))))))))),M85),"")</f>
        <v>De 30 à 34 ans</v>
      </c>
      <c r="R85" s="1">
        <f t="shared" si="10"/>
        <v>1</v>
      </c>
      <c r="S85" s="31">
        <f t="shared" ca="1" si="11"/>
        <v>7.833333333333333</v>
      </c>
      <c r="T85" s="1" t="str">
        <f ca="1">IF(K85=1,IF(Paramètres!$E$25,IF(S85&lt;Paramètres!$B$29,Paramètres!$C$29,IF(S85&lt;Paramètres!$B$30,Paramètres!$C$30,IF(S85&lt;Paramètres!$B$31,Paramètres!$C$31,IF(S85&lt;Paramètres!$B$32,Paramètres!$C$32,IF(S85&lt;Paramètres!$B$33,Paramètres!$C$33,IF(S85&lt;Paramètres!$B$34,Paramètres!$C$34,IF(S85&lt;Paramètres!$B$35,Paramètres!$C$35,IF(S85&lt;Paramètres!$B$36,Paramètres!$C$36,IF(S85&lt;Paramètres!$B$37,Paramètres!$C$37,Paramètres!$C$38))))))))),[3]Données!P527),"")</f>
        <v>De 7 à 10 ans</v>
      </c>
    </row>
    <row r="86" spans="1:20" hidden="1" x14ac:dyDescent="0.25">
      <c r="A86" s="47">
        <v>1359</v>
      </c>
      <c r="B86" s="47" t="s">
        <v>196</v>
      </c>
      <c r="C86" s="47" t="s">
        <v>159</v>
      </c>
      <c r="D86" s="47" t="s">
        <v>36</v>
      </c>
      <c r="E86" s="47" t="s">
        <v>162</v>
      </c>
      <c r="F86" s="48">
        <v>43346</v>
      </c>
      <c r="G86" s="49" t="s">
        <v>71</v>
      </c>
      <c r="H86" s="48">
        <v>31965</v>
      </c>
      <c r="I86" s="48">
        <f t="shared" si="8"/>
        <v>53880</v>
      </c>
      <c r="J86" s="48"/>
      <c r="K86" s="84">
        <v>1</v>
      </c>
      <c r="L86" s="48"/>
      <c r="M86" s="5">
        <f t="shared" ca="1" si="9"/>
        <v>39</v>
      </c>
      <c r="N86" s="43" t="s">
        <v>39</v>
      </c>
      <c r="O86" s="43" t="s">
        <v>2</v>
      </c>
      <c r="P86" s="1" t="s">
        <v>40</v>
      </c>
      <c r="Q86" s="30" t="str">
        <f ca="1">IF(K86=1,IF(Paramètres!$E$9,IF(M86&lt;Paramètres!$B$13,Paramètres!$C$13,IF(M86&lt;Paramètres!$B$14,Paramètres!$C$14,IF(M86&lt;Paramètres!$B$15,Paramètres!$C$15,IF(M86&lt;Paramètres!$B$16,Paramètres!$C$16,IF(M86&lt;Paramètres!$B$17,Paramètres!$C$17,IF(M86&lt;Paramètres!$B$18,Paramètres!$C$18,IF(M86&lt;Paramètres!$B$19,Paramètres!$C$19,IF(M86&lt;Paramètres!$B$20,Paramètres!$C$20,IF(M86&lt;Paramètres!$B$21,Paramètres!$C$21,Paramètres!$C$22))))))))),M86),"")</f>
        <v>De 35 à 39 ans</v>
      </c>
      <c r="R86" s="1">
        <f t="shared" si="10"/>
        <v>1</v>
      </c>
      <c r="S86" s="31">
        <f t="shared" ca="1" si="11"/>
        <v>7.833333333333333</v>
      </c>
      <c r="T86" s="1" t="str">
        <f ca="1">IF(K86=1,IF(Paramètres!$E$25,IF(S86&lt;Paramètres!$B$29,Paramètres!$C$29,IF(S86&lt;Paramètres!$B$30,Paramètres!$C$30,IF(S86&lt;Paramètres!$B$31,Paramètres!$C$31,IF(S86&lt;Paramètres!$B$32,Paramètres!$C$32,IF(S86&lt;Paramètres!$B$33,Paramètres!$C$33,IF(S86&lt;Paramètres!$B$34,Paramètres!$C$34,IF(S86&lt;Paramètres!$B$35,Paramètres!$C$35,IF(S86&lt;Paramètres!$B$36,Paramètres!$C$36,IF(S86&lt;Paramètres!$B$37,Paramètres!$C$37,Paramètres!$C$38))))))))),[3]Données!P528),"")</f>
        <v>De 7 à 10 ans</v>
      </c>
    </row>
    <row r="87" spans="1:20" hidden="1" x14ac:dyDescent="0.25">
      <c r="A87" s="44">
        <v>1360</v>
      </c>
      <c r="B87" s="44" t="s">
        <v>197</v>
      </c>
      <c r="C87" s="44" t="s">
        <v>42</v>
      </c>
      <c r="D87" s="44" t="s">
        <v>36</v>
      </c>
      <c r="E87" s="47" t="s">
        <v>55</v>
      </c>
      <c r="F87" s="45">
        <v>43344</v>
      </c>
      <c r="G87" s="46" t="s">
        <v>198</v>
      </c>
      <c r="H87" s="45">
        <v>32388</v>
      </c>
      <c r="I87" s="48">
        <f t="shared" si="8"/>
        <v>54303</v>
      </c>
      <c r="J87" s="48"/>
      <c r="K87" s="84">
        <v>1</v>
      </c>
      <c r="L87" s="48"/>
      <c r="M87" s="5">
        <f t="shared" ca="1" si="9"/>
        <v>37.833333333333336</v>
      </c>
      <c r="N87" s="42" t="s">
        <v>39</v>
      </c>
      <c r="O87" s="43" t="s">
        <v>2</v>
      </c>
      <c r="P87" s="1" t="s">
        <v>40</v>
      </c>
      <c r="Q87" s="30" t="str">
        <f ca="1">IF(K87=1,IF(Paramètres!$E$9,IF(M87&lt;Paramètres!$B$13,Paramètres!$C$13,IF(M87&lt;Paramètres!$B$14,Paramètres!$C$14,IF(M87&lt;Paramètres!$B$15,Paramètres!$C$15,IF(M87&lt;Paramètres!$B$16,Paramètres!$C$16,IF(M87&lt;Paramètres!$B$17,Paramètres!$C$17,IF(M87&lt;Paramètres!$B$18,Paramètres!$C$18,IF(M87&lt;Paramètres!$B$19,Paramètres!$C$19,IF(M87&lt;Paramètres!$B$20,Paramètres!$C$20,IF(M87&lt;Paramètres!$B$21,Paramètres!$C$21,Paramètres!$C$22))))))))),M87),"")</f>
        <v>De 35 à 39 ans</v>
      </c>
      <c r="R87" s="1">
        <f t="shared" si="10"/>
        <v>1</v>
      </c>
      <c r="S87" s="31">
        <f t="shared" ca="1" si="11"/>
        <v>7.833333333333333</v>
      </c>
      <c r="T87" s="1" t="str">
        <f ca="1">IF(K87=1,IF(Paramètres!$E$25,IF(S87&lt;Paramètres!$B$29,Paramètres!$C$29,IF(S87&lt;Paramètres!$B$30,Paramètres!$C$30,IF(S87&lt;Paramètres!$B$31,Paramètres!$C$31,IF(S87&lt;Paramètres!$B$32,Paramètres!$C$32,IF(S87&lt;Paramètres!$B$33,Paramètres!$C$33,IF(S87&lt;Paramètres!$B$34,Paramètres!$C$34,IF(S87&lt;Paramètres!$B$35,Paramètres!$C$35,IF(S87&lt;Paramètres!$B$36,Paramètres!$C$36,IF(S87&lt;Paramètres!$B$37,Paramètres!$C$37,Paramètres!$C$38))))))))),[3]Données!P529),"")</f>
        <v>De 7 à 10 ans</v>
      </c>
    </row>
    <row r="88" spans="1:20" hidden="1" x14ac:dyDescent="0.25">
      <c r="A88" s="44">
        <v>1363</v>
      </c>
      <c r="B88" s="44" t="s">
        <v>199</v>
      </c>
      <c r="C88" s="44" t="s">
        <v>42</v>
      </c>
      <c r="D88" s="44" t="s">
        <v>36</v>
      </c>
      <c r="E88" s="47" t="s">
        <v>37</v>
      </c>
      <c r="F88" s="45">
        <v>43556</v>
      </c>
      <c r="G88" s="49" t="s">
        <v>103</v>
      </c>
      <c r="H88" s="45">
        <v>31024</v>
      </c>
      <c r="I88" s="48">
        <f t="shared" si="8"/>
        <v>52939</v>
      </c>
      <c r="J88" s="48"/>
      <c r="K88" s="84">
        <v>1</v>
      </c>
      <c r="L88" s="48"/>
      <c r="M88" s="5">
        <f t="shared" ca="1" si="9"/>
        <v>41.5</v>
      </c>
      <c r="N88" s="42" t="s">
        <v>39</v>
      </c>
      <c r="O88" s="43" t="s">
        <v>2</v>
      </c>
      <c r="P88" s="1" t="s">
        <v>40</v>
      </c>
      <c r="Q88" s="30" t="str">
        <f ca="1">IF(K88=1,IF(Paramètres!$E$9,IF(M88&lt;Paramètres!$B$13,Paramètres!$C$13,IF(M88&lt;Paramètres!$B$14,Paramètres!$C$14,IF(M88&lt;Paramètres!$B$15,Paramètres!$C$15,IF(M88&lt;Paramètres!$B$16,Paramètres!$C$16,IF(M88&lt;Paramètres!$B$17,Paramètres!$C$17,IF(M88&lt;Paramètres!$B$18,Paramètres!$C$18,IF(M88&lt;Paramètres!$B$19,Paramètres!$C$19,IF(M88&lt;Paramètres!$B$20,Paramètres!$C$20,IF(M88&lt;Paramètres!$B$21,Paramètres!$C$21,Paramètres!$C$22))))))))),M88),"")</f>
        <v>De 40 à 44 ans</v>
      </c>
      <c r="R88" s="1">
        <f t="shared" si="10"/>
        <v>1</v>
      </c>
      <c r="S88" s="31">
        <f t="shared" ca="1" si="11"/>
        <v>7.25</v>
      </c>
      <c r="T88" s="1" t="str">
        <f ca="1">IF(K88=1,IF(Paramètres!$E$25,IF(S88&lt;Paramètres!$B$29,Paramètres!$C$29,IF(S88&lt;Paramètres!$B$30,Paramètres!$C$30,IF(S88&lt;Paramètres!$B$31,Paramètres!$C$31,IF(S88&lt;Paramètres!$B$32,Paramètres!$C$32,IF(S88&lt;Paramètres!$B$33,Paramètres!$C$33,IF(S88&lt;Paramètres!$B$34,Paramètres!$C$34,IF(S88&lt;Paramètres!$B$35,Paramètres!$C$35,IF(S88&lt;Paramètres!$B$36,Paramètres!$C$36,IF(S88&lt;Paramètres!$B$37,Paramètres!$C$37,Paramètres!$C$38))))))))),[3]Données!P530),"")</f>
        <v>De 7 à 10 ans</v>
      </c>
    </row>
    <row r="89" spans="1:20" hidden="1" x14ac:dyDescent="0.25">
      <c r="A89" s="44">
        <v>1367</v>
      </c>
      <c r="B89" s="44" t="s">
        <v>200</v>
      </c>
      <c r="C89" s="44" t="s">
        <v>201</v>
      </c>
      <c r="D89" s="44" t="s">
        <v>36</v>
      </c>
      <c r="E89" s="47" t="s">
        <v>37</v>
      </c>
      <c r="F89" s="45">
        <v>43617</v>
      </c>
      <c r="G89" s="46" t="s">
        <v>202</v>
      </c>
      <c r="H89" s="45">
        <v>33877</v>
      </c>
      <c r="I89" s="48">
        <f t="shared" si="8"/>
        <v>55792</v>
      </c>
      <c r="J89" s="48"/>
      <c r="K89" s="84">
        <v>1</v>
      </c>
      <c r="L89" s="48"/>
      <c r="M89" s="5">
        <f t="shared" ca="1" si="9"/>
        <v>33.75</v>
      </c>
      <c r="N89" s="42" t="s">
        <v>180</v>
      </c>
      <c r="O89" s="43" t="s">
        <v>2</v>
      </c>
      <c r="P89" s="1" t="s">
        <v>40</v>
      </c>
      <c r="Q89" s="30" t="str">
        <f ca="1">IF(K89=1,IF(Paramètres!$E$9,IF(M89&lt;Paramètres!$B$13,Paramètres!$C$13,IF(M89&lt;Paramètres!$B$14,Paramètres!$C$14,IF(M89&lt;Paramètres!$B$15,Paramètres!$C$15,IF(M89&lt;Paramètres!$B$16,Paramètres!$C$16,IF(M89&lt;Paramètres!$B$17,Paramètres!$C$17,IF(M89&lt;Paramètres!$B$18,Paramètres!$C$18,IF(M89&lt;Paramètres!$B$19,Paramètres!$C$19,IF(M89&lt;Paramètres!$B$20,Paramètres!$C$20,IF(M89&lt;Paramètres!$B$21,Paramètres!$C$21,Paramètres!$C$22))))))))),M89),"")</f>
        <v>De 30 à 34 ans</v>
      </c>
      <c r="R89" s="1">
        <f t="shared" si="10"/>
        <v>2</v>
      </c>
      <c r="S89" s="31">
        <f t="shared" ca="1" si="11"/>
        <v>7.083333333333333</v>
      </c>
      <c r="T89" s="1" t="str">
        <f ca="1">IF(K89=1,IF(Paramètres!$E$25,IF(S89&lt;Paramètres!$B$29,Paramètres!$C$29,IF(S89&lt;Paramètres!$B$30,Paramètres!$C$30,IF(S89&lt;Paramètres!$B$31,Paramètres!$C$31,IF(S89&lt;Paramètres!$B$32,Paramètres!$C$32,IF(S89&lt;Paramètres!$B$33,Paramètres!$C$33,IF(S89&lt;Paramètres!$B$34,Paramètres!$C$34,IF(S89&lt;Paramètres!$B$35,Paramètres!$C$35,IF(S89&lt;Paramètres!$B$36,Paramètres!$C$36,IF(S89&lt;Paramètres!$B$37,Paramètres!$C$37,Paramètres!$C$38))))))))),[3]Données!P531),"")</f>
        <v>De 7 à 10 ans</v>
      </c>
    </row>
    <row r="90" spans="1:20" hidden="1" x14ac:dyDescent="0.25">
      <c r="A90" s="47">
        <v>1368</v>
      </c>
      <c r="B90" s="47" t="s">
        <v>203</v>
      </c>
      <c r="C90" s="47" t="s">
        <v>204</v>
      </c>
      <c r="D90" s="47" t="s">
        <v>36</v>
      </c>
      <c r="E90" s="47" t="s">
        <v>37</v>
      </c>
      <c r="F90" s="48">
        <v>43617</v>
      </c>
      <c r="G90" s="49" t="s">
        <v>43</v>
      </c>
      <c r="H90" s="48">
        <v>32976</v>
      </c>
      <c r="I90" s="48">
        <f t="shared" si="8"/>
        <v>54891</v>
      </c>
      <c r="J90" s="48"/>
      <c r="K90" s="84">
        <v>1</v>
      </c>
      <c r="L90" s="48"/>
      <c r="M90" s="5">
        <f t="shared" ca="1" si="9"/>
        <v>36.166666666666664</v>
      </c>
      <c r="N90" s="43" t="s">
        <v>180</v>
      </c>
      <c r="O90" s="43" t="s">
        <v>2</v>
      </c>
      <c r="P90" s="1" t="s">
        <v>40</v>
      </c>
      <c r="Q90" s="30" t="str">
        <f ca="1">IF(K90=1,IF(Paramètres!$E$9,IF(M90&lt;Paramètres!$B$13,Paramètres!$C$13,IF(M90&lt;Paramètres!$B$14,Paramètres!$C$14,IF(M90&lt;Paramètres!$B$15,Paramètres!$C$15,IF(M90&lt;Paramètres!$B$16,Paramètres!$C$16,IF(M90&lt;Paramètres!$B$17,Paramètres!$C$17,IF(M90&lt;Paramètres!$B$18,Paramètres!$C$18,IF(M90&lt;Paramètres!$B$19,Paramètres!$C$19,IF(M90&lt;Paramètres!$B$20,Paramètres!$C$20,IF(M90&lt;Paramètres!$B$21,Paramètres!$C$21,Paramètres!$C$22))))))))),M90),"")</f>
        <v>De 35 à 39 ans</v>
      </c>
      <c r="R90" s="1">
        <f t="shared" si="10"/>
        <v>2</v>
      </c>
      <c r="S90" s="31">
        <f t="shared" ca="1" si="11"/>
        <v>7.083333333333333</v>
      </c>
      <c r="T90" s="1" t="str">
        <f ca="1">IF(K90=1,IF(Paramètres!$E$25,IF(S90&lt;Paramètres!$B$29,Paramètres!$C$29,IF(S90&lt;Paramètres!$B$30,Paramètres!$C$30,IF(S90&lt;Paramètres!$B$31,Paramètres!$C$31,IF(S90&lt;Paramètres!$B$32,Paramètres!$C$32,IF(S90&lt;Paramètres!$B$33,Paramètres!$C$33,IF(S90&lt;Paramètres!$B$34,Paramètres!$C$34,IF(S90&lt;Paramètres!$B$35,Paramètres!$C$35,IF(S90&lt;Paramètres!$B$36,Paramètres!$C$36,IF(S90&lt;Paramètres!$B$37,Paramètres!$C$37,Paramètres!$C$38))))))))),[3]Données!P532),"")</f>
        <v>De 7 à 10 ans</v>
      </c>
    </row>
    <row r="91" spans="1:20" hidden="1" x14ac:dyDescent="0.25">
      <c r="A91" s="47">
        <v>1382</v>
      </c>
      <c r="B91" s="47" t="s">
        <v>205</v>
      </c>
      <c r="C91" s="47" t="s">
        <v>206</v>
      </c>
      <c r="D91" s="47" t="s">
        <v>36</v>
      </c>
      <c r="E91" s="47" t="s">
        <v>37</v>
      </c>
      <c r="F91" s="48">
        <v>43892</v>
      </c>
      <c r="G91" s="49" t="s">
        <v>75</v>
      </c>
      <c r="H91" s="48">
        <v>35107</v>
      </c>
      <c r="I91" s="48">
        <f t="shared" si="8"/>
        <v>57022</v>
      </c>
      <c r="J91" s="48"/>
      <c r="K91" s="84">
        <v>1</v>
      </c>
      <c r="L91" s="48"/>
      <c r="M91" s="5">
        <f t="shared" ca="1" si="9"/>
        <v>30.333333333333332</v>
      </c>
      <c r="N91" s="42" t="s">
        <v>39</v>
      </c>
      <c r="O91" s="43" t="s">
        <v>2</v>
      </c>
      <c r="P91" s="1" t="s">
        <v>40</v>
      </c>
      <c r="Q91" s="30" t="str">
        <f ca="1">IF(K91=1,IF(Paramètres!$E$9,IF(M91&lt;Paramètres!$B$13,Paramètres!$C$13,IF(M91&lt;Paramètres!$B$14,Paramètres!$C$14,IF(M91&lt;Paramètres!$B$15,Paramètres!$C$15,IF(M91&lt;Paramètres!$B$16,Paramètres!$C$16,IF(M91&lt;Paramètres!$B$17,Paramètres!$C$17,IF(M91&lt;Paramètres!$B$18,Paramètres!$C$18,IF(M91&lt;Paramètres!$B$19,Paramètres!$C$19,IF(M91&lt;Paramètres!$B$20,Paramètres!$C$20,IF(M91&lt;Paramètres!$B$21,Paramètres!$C$21,Paramètres!$C$22))))))))),M91),"")</f>
        <v>De 30 à 34 ans</v>
      </c>
      <c r="R91" s="1">
        <f t="shared" si="10"/>
        <v>1</v>
      </c>
      <c r="S91" s="31">
        <f t="shared" ca="1" si="11"/>
        <v>6.333333333333333</v>
      </c>
      <c r="T91" s="1" t="str">
        <f ca="1">IF(K91=1,IF(Paramètres!$E$25,IF(S91&lt;Paramètres!$B$29,Paramètres!$C$29,IF(S91&lt;Paramètres!$B$30,Paramètres!$C$30,IF(S91&lt;Paramètres!$B$31,Paramètres!$C$31,IF(S91&lt;Paramètres!$B$32,Paramètres!$C$32,IF(S91&lt;Paramètres!$B$33,Paramètres!$C$33,IF(S91&lt;Paramètres!$B$34,Paramètres!$C$34,IF(S91&lt;Paramètres!$B$35,Paramètres!$C$35,IF(S91&lt;Paramètres!$B$36,Paramètres!$C$36,IF(S91&lt;Paramètres!$B$37,Paramètres!$C$37,Paramètres!$C$38))))))))),[3]Données!P533),"")</f>
        <v>De 3 à 6 ans</v>
      </c>
    </row>
    <row r="92" spans="1:20" hidden="1" x14ac:dyDescent="0.25">
      <c r="A92" s="44">
        <v>1389</v>
      </c>
      <c r="B92" s="44" t="s">
        <v>207</v>
      </c>
      <c r="C92" s="44" t="s">
        <v>208</v>
      </c>
      <c r="D92" s="44" t="s">
        <v>36</v>
      </c>
      <c r="E92" s="47" t="s">
        <v>55</v>
      </c>
      <c r="F92" s="45">
        <v>44105</v>
      </c>
      <c r="G92" s="46" t="s">
        <v>75</v>
      </c>
      <c r="H92" s="45">
        <v>30638</v>
      </c>
      <c r="I92" s="48">
        <f t="shared" si="8"/>
        <v>52553</v>
      </c>
      <c r="J92" s="48"/>
      <c r="K92" s="84">
        <v>1</v>
      </c>
      <c r="L92" s="48"/>
      <c r="M92" s="5">
        <f t="shared" ca="1" si="9"/>
        <v>42.583333333333336</v>
      </c>
      <c r="N92" s="43" t="s">
        <v>39</v>
      </c>
      <c r="O92" s="43" t="s">
        <v>2</v>
      </c>
      <c r="P92" s="1" t="s">
        <v>40</v>
      </c>
      <c r="Q92" s="30" t="str">
        <f ca="1">IF(K92=1,IF(Paramètres!$E$9,IF(M92&lt;Paramètres!$B$13,Paramètres!$C$13,IF(M92&lt;Paramètres!$B$14,Paramètres!$C$14,IF(M92&lt;Paramètres!$B$15,Paramètres!$C$15,IF(M92&lt;Paramètres!$B$16,Paramètres!$C$16,IF(M92&lt;Paramètres!$B$17,Paramètres!$C$17,IF(M92&lt;Paramètres!$B$18,Paramètres!$C$18,IF(M92&lt;Paramètres!$B$19,Paramètres!$C$19,IF(M92&lt;Paramètres!$B$20,Paramètres!$C$20,IF(M92&lt;Paramètres!$B$21,Paramètres!$C$21,Paramètres!$C$22))))))))),M92),"")</f>
        <v>De 40 à 44 ans</v>
      </c>
      <c r="R92" s="1">
        <f t="shared" si="10"/>
        <v>1</v>
      </c>
      <c r="S92" s="31">
        <f t="shared" ca="1" si="11"/>
        <v>5.75</v>
      </c>
      <c r="T92" s="1" t="str">
        <f ca="1">IF(K92=1,IF(Paramètres!$E$25,IF(S92&lt;Paramètres!$B$29,Paramètres!$C$29,IF(S92&lt;Paramètres!$B$30,Paramètres!$C$30,IF(S92&lt;Paramètres!$B$31,Paramètres!$C$31,IF(S92&lt;Paramètres!$B$32,Paramètres!$C$32,IF(S92&lt;Paramètres!$B$33,Paramètres!$C$33,IF(S92&lt;Paramètres!$B$34,Paramètres!$C$34,IF(S92&lt;Paramètres!$B$35,Paramètres!$C$35,IF(S92&lt;Paramètres!$B$36,Paramètres!$C$36,IF(S92&lt;Paramètres!$B$37,Paramètres!$C$37,Paramètres!$C$38))))))))),[3]Données!P534),"")</f>
        <v>De 3 à 6 ans</v>
      </c>
    </row>
    <row r="93" spans="1:20" hidden="1" x14ac:dyDescent="0.25">
      <c r="A93" s="47">
        <v>1390</v>
      </c>
      <c r="B93" s="47" t="s">
        <v>209</v>
      </c>
      <c r="C93" s="47" t="s">
        <v>210</v>
      </c>
      <c r="D93" s="47" t="s">
        <v>36</v>
      </c>
      <c r="E93" s="47" t="s">
        <v>55</v>
      </c>
      <c r="F93" s="48">
        <v>44105</v>
      </c>
      <c r="G93" s="49" t="s">
        <v>211</v>
      </c>
      <c r="H93" s="48">
        <v>35385</v>
      </c>
      <c r="I93" s="48">
        <f t="shared" si="8"/>
        <v>57300</v>
      </c>
      <c r="J93" s="48"/>
      <c r="K93" s="84">
        <v>1</v>
      </c>
      <c r="L93" s="48"/>
      <c r="M93" s="5">
        <f t="shared" ca="1" si="9"/>
        <v>29.583333333333332</v>
      </c>
      <c r="N93" s="42" t="s">
        <v>39</v>
      </c>
      <c r="O93" s="43" t="s">
        <v>2</v>
      </c>
      <c r="P93" s="1" t="s">
        <v>40</v>
      </c>
      <c r="Q93" s="30" t="str">
        <f ca="1">IF(K93=1,IF(Paramètres!$E$9,IF(M93&lt;Paramètres!$B$13,Paramètres!$C$13,IF(M93&lt;Paramètres!$B$14,Paramètres!$C$14,IF(M93&lt;Paramètres!$B$15,Paramètres!$C$15,IF(M93&lt;Paramètres!$B$16,Paramètres!$C$16,IF(M93&lt;Paramètres!$B$17,Paramètres!$C$17,IF(M93&lt;Paramètres!$B$18,Paramètres!$C$18,IF(M93&lt;Paramètres!$B$19,Paramètres!$C$19,IF(M93&lt;Paramètres!$B$20,Paramètres!$C$20,IF(M93&lt;Paramètres!$B$21,Paramètres!$C$21,Paramètres!$C$22))))))))),M93),"")</f>
        <v>De 25 à 29 ans</v>
      </c>
      <c r="R93" s="1">
        <f t="shared" si="10"/>
        <v>1</v>
      </c>
      <c r="S93" s="31">
        <f t="shared" ca="1" si="11"/>
        <v>5.75</v>
      </c>
      <c r="T93" s="1" t="str">
        <f ca="1">IF(K93=1,IF(Paramètres!$E$25,IF(S93&lt;Paramètres!$B$29,Paramètres!$C$29,IF(S93&lt;Paramètres!$B$30,Paramètres!$C$30,IF(S93&lt;Paramètres!$B$31,Paramètres!$C$31,IF(S93&lt;Paramètres!$B$32,Paramètres!$C$32,IF(S93&lt;Paramètres!$B$33,Paramètres!$C$33,IF(S93&lt;Paramètres!$B$34,Paramètres!$C$34,IF(S93&lt;Paramètres!$B$35,Paramètres!$C$35,IF(S93&lt;Paramètres!$B$36,Paramètres!$C$36,IF(S93&lt;Paramètres!$B$37,Paramètres!$C$37,Paramètres!$C$38))))))))),[3]Données!P535),"")</f>
        <v>De 3 à 6 ans</v>
      </c>
    </row>
    <row r="94" spans="1:20" hidden="1" x14ac:dyDescent="0.25">
      <c r="A94" s="47">
        <v>1395</v>
      </c>
      <c r="B94" s="47" t="s">
        <v>212</v>
      </c>
      <c r="C94" s="47" t="s">
        <v>213</v>
      </c>
      <c r="D94" s="47" t="s">
        <v>36</v>
      </c>
      <c r="E94" s="47" t="s">
        <v>162</v>
      </c>
      <c r="F94" s="48">
        <v>44179</v>
      </c>
      <c r="G94" s="49" t="s">
        <v>47</v>
      </c>
      <c r="H94" s="48">
        <v>35236</v>
      </c>
      <c r="I94" s="48">
        <f t="shared" si="8"/>
        <v>57151</v>
      </c>
      <c r="J94" s="48"/>
      <c r="K94" s="84">
        <v>1</v>
      </c>
      <c r="L94" s="48"/>
      <c r="M94" s="5">
        <f t="shared" ca="1" si="9"/>
        <v>30</v>
      </c>
      <c r="N94" s="42" t="s">
        <v>39</v>
      </c>
      <c r="O94" s="43" t="s">
        <v>2</v>
      </c>
      <c r="P94" s="1" t="s">
        <v>40</v>
      </c>
      <c r="Q94" s="30" t="str">
        <f ca="1">IF(K94=1,IF(Paramètres!$E$9,IF(M94&lt;Paramètres!$B$13,Paramètres!$C$13,IF(M94&lt;Paramètres!$B$14,Paramètres!$C$14,IF(M94&lt;Paramètres!$B$15,Paramètres!$C$15,IF(M94&lt;Paramètres!$B$16,Paramètres!$C$16,IF(M94&lt;Paramètres!$B$17,Paramètres!$C$17,IF(M94&lt;Paramètres!$B$18,Paramètres!$C$18,IF(M94&lt;Paramètres!$B$19,Paramètres!$C$19,IF(M94&lt;Paramètres!$B$20,Paramètres!$C$20,IF(M94&lt;Paramètres!$B$21,Paramètres!$C$21,Paramètres!$C$22))))))))),M94),"")</f>
        <v>De 30 à 34 ans</v>
      </c>
      <c r="R94" s="1">
        <f t="shared" si="10"/>
        <v>1</v>
      </c>
      <c r="S94" s="31">
        <f t="shared" ca="1" si="11"/>
        <v>5.5</v>
      </c>
      <c r="T94" s="1" t="str">
        <f ca="1">IF(K94=1,IF(Paramètres!$E$25,IF(S94&lt;Paramètres!$B$29,Paramètres!$C$29,IF(S94&lt;Paramètres!$B$30,Paramètres!$C$30,IF(S94&lt;Paramètres!$B$31,Paramètres!$C$31,IF(S94&lt;Paramètres!$B$32,Paramètres!$C$32,IF(S94&lt;Paramètres!$B$33,Paramètres!$C$33,IF(S94&lt;Paramètres!$B$34,Paramètres!$C$34,IF(S94&lt;Paramètres!$B$35,Paramètres!$C$35,IF(S94&lt;Paramètres!$B$36,Paramètres!$C$36,IF(S94&lt;Paramètres!$B$37,Paramètres!$C$37,Paramètres!$C$38))))))))),[3]Données!P536),"")</f>
        <v>De 3 à 6 ans</v>
      </c>
    </row>
    <row r="95" spans="1:20" x14ac:dyDescent="0.25">
      <c r="A95" s="47">
        <v>1416</v>
      </c>
      <c r="B95" s="47" t="s">
        <v>214</v>
      </c>
      <c r="C95" s="47" t="s">
        <v>215</v>
      </c>
      <c r="D95" s="47" t="s">
        <v>36</v>
      </c>
      <c r="E95" s="47" t="s">
        <v>55</v>
      </c>
      <c r="F95" s="48">
        <v>44501</v>
      </c>
      <c r="G95" s="49"/>
      <c r="H95" s="48">
        <v>34417</v>
      </c>
      <c r="I95" s="48">
        <f t="shared" si="8"/>
        <v>56332</v>
      </c>
      <c r="J95" s="48">
        <v>45880</v>
      </c>
      <c r="K95" s="84">
        <v>0</v>
      </c>
      <c r="L95" s="48" t="s">
        <v>142</v>
      </c>
      <c r="M95" s="5">
        <f t="shared" ca="1" si="9"/>
        <v>0</v>
      </c>
      <c r="N95" s="42" t="s">
        <v>39</v>
      </c>
      <c r="O95" s="42"/>
      <c r="P95" s="1" t="s">
        <v>40</v>
      </c>
      <c r="Q95" s="30" t="str">
        <f>IF(K95=1,IF(Paramètres!$E$9,IF(M95&lt;Paramètres!$B$13,Paramètres!$C$13,IF(M95&lt;Paramètres!$B$14,Paramètres!$C$14,IF(M95&lt;Paramètres!$B$15,Paramètres!$C$15,IF(M95&lt;Paramètres!$B$16,Paramètres!$C$16,IF(M95&lt;Paramètres!$B$17,Paramètres!$C$17,IF(M95&lt;Paramètres!$B$18,Paramètres!$C$18,IF(M95&lt;Paramètres!$B$19,Paramètres!$C$19,IF(M95&lt;Paramètres!$B$20,Paramètres!$C$20,IF(M95&lt;Paramètres!$B$21,Paramètres!$C$21,Paramètres!$C$22))))))))),M95),"")</f>
        <v/>
      </c>
      <c r="R95" s="1">
        <f t="shared" si="10"/>
        <v>1</v>
      </c>
      <c r="S95" s="31">
        <f t="shared" ca="1" si="11"/>
        <v>0</v>
      </c>
      <c r="T95" s="1" t="str">
        <f>IF(K95=1,IF(Paramètres!$E$25,IF(S95&lt;Paramètres!$B$29,Paramètres!$C$29,IF(S95&lt;Paramètres!$B$30,Paramètres!$C$30,IF(S95&lt;Paramètres!$B$31,Paramètres!$C$31,IF(S95&lt;Paramètres!$B$32,Paramètres!$C$32,IF(S95&lt;Paramètres!$B$33,Paramètres!$C$33,IF(S95&lt;Paramètres!$B$34,Paramètres!$C$34,IF(S95&lt;Paramètres!$B$35,Paramètres!$C$35,IF(S95&lt;Paramètres!$B$36,Paramètres!$C$36,IF(S95&lt;Paramètres!$B$37,Paramètres!$C$37,Paramètres!$C$38))))))))),[3]Données!P609),"")</f>
        <v/>
      </c>
    </row>
    <row r="96" spans="1:20" x14ac:dyDescent="0.25">
      <c r="A96" s="44">
        <v>1417</v>
      </c>
      <c r="B96" s="44" t="s">
        <v>216</v>
      </c>
      <c r="C96" s="44" t="s">
        <v>217</v>
      </c>
      <c r="D96" s="44" t="s">
        <v>36</v>
      </c>
      <c r="E96" s="47" t="s">
        <v>37</v>
      </c>
      <c r="F96" s="45">
        <v>44515</v>
      </c>
      <c r="G96" s="46" t="s">
        <v>198</v>
      </c>
      <c r="H96" s="45">
        <v>35130</v>
      </c>
      <c r="I96" s="48">
        <f t="shared" si="8"/>
        <v>57045</v>
      </c>
      <c r="J96" s="48">
        <v>45740</v>
      </c>
      <c r="K96" s="84">
        <v>0</v>
      </c>
      <c r="L96" s="48" t="s">
        <v>142</v>
      </c>
      <c r="M96" s="5">
        <f t="shared" ca="1" si="9"/>
        <v>0</v>
      </c>
      <c r="N96" s="43" t="s">
        <v>39</v>
      </c>
      <c r="O96" s="43"/>
      <c r="P96" s="1" t="s">
        <v>40</v>
      </c>
      <c r="Q96" s="30" t="str">
        <f>IF(K96=1,IF(Paramètres!$E$9,IF(M96&lt;Paramètres!$B$13,Paramètres!$C$13,IF(M96&lt;Paramètres!$B$14,Paramètres!$C$14,IF(M96&lt;Paramètres!$B$15,Paramètres!$C$15,IF(M96&lt;Paramètres!$B$16,Paramètres!$C$16,IF(M96&lt;Paramètres!$B$17,Paramètres!$C$17,IF(M96&lt;Paramètres!$B$18,Paramètres!$C$18,IF(M96&lt;Paramètres!$B$19,Paramètres!$C$19,IF(M96&lt;Paramètres!$B$20,Paramètres!$C$20,IF(M96&lt;Paramètres!$B$21,Paramètres!$C$21,Paramètres!$C$22))))))))),M96),"")</f>
        <v/>
      </c>
      <c r="R96" s="1">
        <f t="shared" si="10"/>
        <v>1</v>
      </c>
      <c r="S96" s="31">
        <f t="shared" ca="1" si="11"/>
        <v>0</v>
      </c>
      <c r="T96" s="1" t="str">
        <f>IF(K96=1,IF(Paramètres!$E$25,IF(S96&lt;Paramètres!$B$29,Paramètres!$C$29,IF(S96&lt;Paramètres!$B$30,Paramètres!$C$30,IF(S96&lt;Paramètres!$B$31,Paramètres!$C$31,IF(S96&lt;Paramètres!$B$32,Paramètres!$C$32,IF(S96&lt;Paramètres!$B$33,Paramètres!$C$33,IF(S96&lt;Paramètres!$B$34,Paramètres!$C$34,IF(S96&lt;Paramètres!$B$35,Paramètres!$C$35,IF(S96&lt;Paramètres!$B$36,Paramètres!$C$36,IF(S96&lt;Paramètres!$B$37,Paramètres!$C$37,Paramètres!$C$38))))))))),[3]Données!P610),"")</f>
        <v/>
      </c>
    </row>
    <row r="97" spans="1:20" hidden="1" x14ac:dyDescent="0.25">
      <c r="A97" s="44">
        <v>1421</v>
      </c>
      <c r="B97" s="44" t="s">
        <v>218</v>
      </c>
      <c r="C97" s="44" t="s">
        <v>219</v>
      </c>
      <c r="D97" s="44" t="s">
        <v>36</v>
      </c>
      <c r="E97" s="44" t="s">
        <v>162</v>
      </c>
      <c r="F97" s="45">
        <v>44531</v>
      </c>
      <c r="G97" s="46" t="s">
        <v>68</v>
      </c>
      <c r="H97" s="45">
        <v>34433</v>
      </c>
      <c r="I97" s="48">
        <f t="shared" si="8"/>
        <v>56348</v>
      </c>
      <c r="J97" s="48"/>
      <c r="K97" s="84">
        <v>1</v>
      </c>
      <c r="L97" s="48"/>
      <c r="M97" s="5">
        <f t="shared" ca="1" si="9"/>
        <v>32.166666666666664</v>
      </c>
      <c r="N97" s="43" t="s">
        <v>39</v>
      </c>
      <c r="O97" s="43" t="s">
        <v>2</v>
      </c>
      <c r="P97" s="1" t="s">
        <v>40</v>
      </c>
      <c r="Q97" s="30" t="str">
        <f ca="1">IF(K97=1,IF(Paramètres!$E$9,IF(M97&lt;Paramètres!$B$13,Paramètres!$C$13,IF(M97&lt;Paramètres!$B$14,Paramètres!$C$14,IF(M97&lt;Paramètres!$B$15,Paramètres!$C$15,IF(M97&lt;Paramètres!$B$16,Paramètres!$C$16,IF(M97&lt;Paramètres!$B$17,Paramètres!$C$17,IF(M97&lt;Paramètres!$B$18,Paramètres!$C$18,IF(M97&lt;Paramètres!$B$19,Paramètres!$C$19,IF(M97&lt;Paramètres!$B$20,Paramètres!$C$20,IF(M97&lt;Paramètres!$B$21,Paramètres!$C$21,Paramètres!$C$22))))))))),M97),"")</f>
        <v>De 30 à 34 ans</v>
      </c>
      <c r="R97" s="1">
        <f t="shared" si="10"/>
        <v>1</v>
      </c>
      <c r="S97" s="31">
        <f t="shared" ca="1" si="11"/>
        <v>4.583333333333333</v>
      </c>
      <c r="T97" s="1" t="str">
        <f ca="1">IF(K97=1,IF(Paramètres!$E$25,IF(S97&lt;Paramètres!$B$29,Paramètres!$C$29,IF(S97&lt;Paramètres!$B$30,Paramètres!$C$30,IF(S97&lt;Paramètres!$B$31,Paramètres!$C$31,IF(S97&lt;Paramètres!$B$32,Paramètres!$C$32,IF(S97&lt;Paramètres!$B$33,Paramètres!$C$33,IF(S97&lt;Paramètres!$B$34,Paramètres!$C$34,IF(S97&lt;Paramètres!$B$35,Paramètres!$C$35,IF(S97&lt;Paramètres!$B$36,Paramètres!$C$36,IF(S97&lt;Paramètres!$B$37,Paramètres!$C$37,Paramètres!$C$38))))))))),[3]Données!P537),"")</f>
        <v>De 3 à 6 ans</v>
      </c>
    </row>
    <row r="98" spans="1:20" hidden="1" x14ac:dyDescent="0.25">
      <c r="A98" s="47">
        <v>1450</v>
      </c>
      <c r="B98" s="47" t="s">
        <v>200</v>
      </c>
      <c r="C98" s="47" t="s">
        <v>220</v>
      </c>
      <c r="D98" s="47" t="s">
        <v>36</v>
      </c>
      <c r="E98" s="47" t="s">
        <v>37</v>
      </c>
      <c r="F98" s="48">
        <v>44634</v>
      </c>
      <c r="G98" s="49" t="s">
        <v>43</v>
      </c>
      <c r="H98" s="48">
        <v>35353</v>
      </c>
      <c r="I98" s="48">
        <f t="shared" ref="I98:I129" si="12">H98+(365.25*60)</f>
        <v>57268</v>
      </c>
      <c r="J98" s="48"/>
      <c r="K98" s="84">
        <v>1</v>
      </c>
      <c r="L98" s="48"/>
      <c r="M98" s="5">
        <f t="shared" ref="M98:M129" ca="1" si="13">K98*(DATEDIF(H98,TODAY(),"m")/12)</f>
        <v>29.666666666666668</v>
      </c>
      <c r="N98" s="42" t="s">
        <v>221</v>
      </c>
      <c r="O98" s="43" t="s">
        <v>2</v>
      </c>
      <c r="P98" s="1" t="s">
        <v>40</v>
      </c>
      <c r="Q98" s="30" t="str">
        <f ca="1">IF(K98=1,IF(Paramètres!$E$9,IF(M98&lt;Paramètres!$B$13,Paramètres!$C$13,IF(M98&lt;Paramètres!$B$14,Paramètres!$C$14,IF(M98&lt;Paramètres!$B$15,Paramètres!$C$15,IF(M98&lt;Paramètres!$B$16,Paramètres!$C$16,IF(M98&lt;Paramètres!$B$17,Paramètres!$C$17,IF(M98&lt;Paramètres!$B$18,Paramètres!$C$18,IF(M98&lt;Paramètres!$B$19,Paramètres!$C$19,IF(M98&lt;Paramètres!$B$20,Paramètres!$C$20,IF(M98&lt;Paramètres!$B$21,Paramètres!$C$21,Paramètres!$C$22))))))))),M98),"")</f>
        <v>De 25 à 29 ans</v>
      </c>
      <c r="R98" s="1">
        <f t="shared" ref="R98:R129" si="14">+IF(N98="Mr",1,2)</f>
        <v>2</v>
      </c>
      <c r="S98" s="31">
        <f t="shared" ca="1" si="11"/>
        <v>4.25</v>
      </c>
      <c r="T98" s="1" t="str">
        <f ca="1">IF(K98=1,IF(Paramètres!$E$25,IF(S98&lt;Paramètres!$B$29,Paramètres!$C$29,IF(S98&lt;Paramètres!$B$30,Paramètres!$C$30,IF(S98&lt;Paramètres!$B$31,Paramètres!$C$31,IF(S98&lt;Paramètres!$B$32,Paramètres!$C$32,IF(S98&lt;Paramètres!$B$33,Paramètres!$C$33,IF(S98&lt;Paramètres!$B$34,Paramètres!$C$34,IF(S98&lt;Paramètres!$B$35,Paramètres!$C$35,IF(S98&lt;Paramètres!$B$36,Paramètres!$C$36,IF(S98&lt;Paramètres!$B$37,Paramètres!$C$37,Paramètres!$C$38))))))))),[3]Données!P538),"")</f>
        <v>De 3 à 6 ans</v>
      </c>
    </row>
    <row r="99" spans="1:20" hidden="1" x14ac:dyDescent="0.25">
      <c r="A99" s="47">
        <v>1451</v>
      </c>
      <c r="B99" s="47" t="s">
        <v>222</v>
      </c>
      <c r="C99" s="47" t="s">
        <v>223</v>
      </c>
      <c r="D99" s="47" t="s">
        <v>36</v>
      </c>
      <c r="E99" s="47" t="s">
        <v>55</v>
      </c>
      <c r="F99" s="48">
        <v>44621</v>
      </c>
      <c r="G99" s="49" t="s">
        <v>68</v>
      </c>
      <c r="H99" s="48">
        <v>31884</v>
      </c>
      <c r="I99" s="48">
        <f t="shared" si="12"/>
        <v>53799</v>
      </c>
      <c r="J99" s="48"/>
      <c r="K99" s="84">
        <v>1</v>
      </c>
      <c r="L99" s="48"/>
      <c r="M99" s="5">
        <f t="shared" ca="1" si="13"/>
        <v>39.166666666666664</v>
      </c>
      <c r="N99" s="42" t="s">
        <v>39</v>
      </c>
      <c r="O99" s="43" t="s">
        <v>2</v>
      </c>
      <c r="P99" s="1" t="s">
        <v>40</v>
      </c>
      <c r="Q99" s="30" t="str">
        <f ca="1">IF(K99=1,IF(Paramètres!$E$9,IF(M99&lt;Paramètres!$B$13,Paramètres!$C$13,IF(M99&lt;Paramètres!$B$14,Paramètres!$C$14,IF(M99&lt;Paramètres!$B$15,Paramètres!$C$15,IF(M99&lt;Paramètres!$B$16,Paramètres!$C$16,IF(M99&lt;Paramètres!$B$17,Paramètres!$C$17,IF(M99&lt;Paramètres!$B$18,Paramètres!$C$18,IF(M99&lt;Paramètres!$B$19,Paramètres!$C$19,IF(M99&lt;Paramètres!$B$20,Paramètres!$C$20,IF(M99&lt;Paramètres!$B$21,Paramètres!$C$21,Paramètres!$C$22))))))))),M99),"")</f>
        <v>De 35 à 39 ans</v>
      </c>
      <c r="R99" s="1">
        <f t="shared" si="14"/>
        <v>1</v>
      </c>
      <c r="S99" s="31">
        <f t="shared" ca="1" si="11"/>
        <v>4.333333333333333</v>
      </c>
      <c r="T99" s="1" t="str">
        <f ca="1">IF(K99=1,IF(Paramètres!$E$25,IF(S99&lt;Paramètres!$B$29,Paramètres!$C$29,IF(S99&lt;Paramètres!$B$30,Paramètres!$C$30,IF(S99&lt;Paramètres!$B$31,Paramètres!$C$31,IF(S99&lt;Paramètres!$B$32,Paramètres!$C$32,IF(S99&lt;Paramètres!$B$33,Paramètres!$C$33,IF(S99&lt;Paramètres!$B$34,Paramètres!$C$34,IF(S99&lt;Paramètres!$B$35,Paramètres!$C$35,IF(S99&lt;Paramètres!$B$36,Paramètres!$C$36,IF(S99&lt;Paramètres!$B$37,Paramètres!$C$37,Paramètres!$C$38))))))))),[3]Données!P539),"")</f>
        <v>De 3 à 6 ans</v>
      </c>
    </row>
    <row r="100" spans="1:20" hidden="1" x14ac:dyDescent="0.25">
      <c r="A100" s="47">
        <v>1457</v>
      </c>
      <c r="B100" s="47" t="s">
        <v>224</v>
      </c>
      <c r="C100" s="47" t="s">
        <v>225</v>
      </c>
      <c r="D100" s="47" t="s">
        <v>36</v>
      </c>
      <c r="E100" s="47" t="s">
        <v>37</v>
      </c>
      <c r="F100" s="48">
        <v>44652</v>
      </c>
      <c r="G100" s="49" t="s">
        <v>82</v>
      </c>
      <c r="H100" s="48">
        <v>36056</v>
      </c>
      <c r="I100" s="48">
        <f t="shared" si="12"/>
        <v>57971</v>
      </c>
      <c r="J100" s="48"/>
      <c r="K100" s="84">
        <v>1</v>
      </c>
      <c r="L100" s="48"/>
      <c r="M100" s="5">
        <f t="shared" ca="1" si="13"/>
        <v>27.75</v>
      </c>
      <c r="N100" s="42" t="s">
        <v>39</v>
      </c>
      <c r="O100" s="43" t="s">
        <v>2</v>
      </c>
      <c r="P100" s="1" t="s">
        <v>40</v>
      </c>
      <c r="Q100" s="30" t="str">
        <f ca="1">IF(K100=1,IF(Paramètres!$E$9,IF(M100&lt;Paramètres!$B$13,Paramètres!$C$13,IF(M100&lt;Paramètres!$B$14,Paramètres!$C$14,IF(M100&lt;Paramètres!$B$15,Paramètres!$C$15,IF(M100&lt;Paramètres!$B$16,Paramètres!$C$16,IF(M100&lt;Paramètres!$B$17,Paramètres!$C$17,IF(M100&lt;Paramètres!$B$18,Paramètres!$C$18,IF(M100&lt;Paramètres!$B$19,Paramètres!$C$19,IF(M100&lt;Paramètres!$B$20,Paramètres!$C$20,IF(M100&lt;Paramètres!$B$21,Paramètres!$C$21,Paramètres!$C$22))))))))),M100),"")</f>
        <v>De 25 à 29 ans</v>
      </c>
      <c r="R100" s="1">
        <f t="shared" si="14"/>
        <v>1</v>
      </c>
      <c r="S100" s="31">
        <f t="shared" ca="1" si="11"/>
        <v>4.25</v>
      </c>
      <c r="T100" s="1" t="str">
        <f ca="1">IF(K100=1,IF(Paramètres!$E$25,IF(S100&lt;Paramètres!$B$29,Paramètres!$C$29,IF(S100&lt;Paramètres!$B$30,Paramètres!$C$30,IF(S100&lt;Paramètres!$B$31,Paramètres!$C$31,IF(S100&lt;Paramètres!$B$32,Paramètres!$C$32,IF(S100&lt;Paramètres!$B$33,Paramètres!$C$33,IF(S100&lt;Paramètres!$B$34,Paramètres!$C$34,IF(S100&lt;Paramètres!$B$35,Paramètres!$C$35,IF(S100&lt;Paramètres!$B$36,Paramètres!$C$36,IF(S100&lt;Paramètres!$B$37,Paramètres!$C$37,Paramètres!$C$38))))))))),[3]Données!P540),"")</f>
        <v>De 3 à 6 ans</v>
      </c>
    </row>
    <row r="101" spans="1:20" hidden="1" x14ac:dyDescent="0.25">
      <c r="A101" s="47">
        <v>1482</v>
      </c>
      <c r="B101" s="47" t="s">
        <v>226</v>
      </c>
      <c r="C101" s="47" t="s">
        <v>227</v>
      </c>
      <c r="D101" s="47" t="s">
        <v>36</v>
      </c>
      <c r="E101" s="47" t="s">
        <v>37</v>
      </c>
      <c r="F101" s="48">
        <v>44835</v>
      </c>
      <c r="G101" s="49" t="s">
        <v>75</v>
      </c>
      <c r="H101" s="48">
        <v>35762</v>
      </c>
      <c r="I101" s="48">
        <f t="shared" si="12"/>
        <v>57677</v>
      </c>
      <c r="J101" s="48"/>
      <c r="K101" s="84">
        <v>1</v>
      </c>
      <c r="L101" s="48"/>
      <c r="M101" s="5">
        <f t="shared" ca="1" si="13"/>
        <v>28.583333333333332</v>
      </c>
      <c r="N101" s="42" t="s">
        <v>39</v>
      </c>
      <c r="O101" s="43" t="s">
        <v>2</v>
      </c>
      <c r="P101" s="1" t="s">
        <v>40</v>
      </c>
      <c r="Q101" s="30" t="str">
        <f ca="1">IF(K101=1,IF(Paramètres!$E$9,IF(M101&lt;Paramètres!$B$13,Paramètres!$C$13,IF(M101&lt;Paramètres!$B$14,Paramètres!$C$14,IF(M101&lt;Paramètres!$B$15,Paramètres!$C$15,IF(M101&lt;Paramètres!$B$16,Paramètres!$C$16,IF(M101&lt;Paramètres!$B$17,Paramètres!$C$17,IF(M101&lt;Paramètres!$B$18,Paramètres!$C$18,IF(M101&lt;Paramètres!$B$19,Paramètres!$C$19,IF(M101&lt;Paramètres!$B$20,Paramètres!$C$20,IF(M101&lt;Paramètres!$B$21,Paramètres!$C$21,Paramètres!$C$22))))))))),M101),"")</f>
        <v>De 25 à 29 ans</v>
      </c>
      <c r="R101" s="1">
        <f t="shared" si="14"/>
        <v>1</v>
      </c>
      <c r="S101" s="31">
        <f t="shared" ca="1" si="11"/>
        <v>3.75</v>
      </c>
      <c r="T101" s="1" t="str">
        <f ca="1">IF(K101=1,IF(Paramètres!$E$25,IF(S101&lt;Paramètres!$B$29,Paramètres!$C$29,IF(S101&lt;Paramètres!$B$30,Paramètres!$C$30,IF(S101&lt;Paramètres!$B$31,Paramètres!$C$31,IF(S101&lt;Paramètres!$B$32,Paramètres!$C$32,IF(S101&lt;Paramètres!$B$33,Paramètres!$C$33,IF(S101&lt;Paramètres!$B$34,Paramètres!$C$34,IF(S101&lt;Paramètres!$B$35,Paramètres!$C$35,IF(S101&lt;Paramètres!$B$36,Paramètres!$C$36,IF(S101&lt;Paramètres!$B$37,Paramètres!$C$37,Paramètres!$C$38))))))))),[3]Données!P541),"")</f>
        <v>De 3 à 6 ans</v>
      </c>
    </row>
    <row r="102" spans="1:20" hidden="1" x14ac:dyDescent="0.25">
      <c r="A102" s="47">
        <v>1507</v>
      </c>
      <c r="B102" s="47" t="s">
        <v>228</v>
      </c>
      <c r="C102" s="47" t="s">
        <v>229</v>
      </c>
      <c r="D102" s="47" t="s">
        <v>36</v>
      </c>
      <c r="E102" s="47" t="s">
        <v>55</v>
      </c>
      <c r="F102" s="48">
        <v>44896</v>
      </c>
      <c r="G102" s="49" t="s">
        <v>211</v>
      </c>
      <c r="H102" s="48">
        <v>36345</v>
      </c>
      <c r="I102" s="48">
        <f t="shared" si="12"/>
        <v>58260</v>
      </c>
      <c r="J102" s="48"/>
      <c r="K102" s="84">
        <v>1</v>
      </c>
      <c r="L102" s="48"/>
      <c r="M102" s="5">
        <f t="shared" ca="1" si="13"/>
        <v>27</v>
      </c>
      <c r="N102" s="42" t="s">
        <v>39</v>
      </c>
      <c r="O102" s="43" t="s">
        <v>2</v>
      </c>
      <c r="P102" s="1" t="s">
        <v>40</v>
      </c>
      <c r="Q102" s="30" t="str">
        <f ca="1">IF(K102=1,IF(Paramètres!$E$9,IF(M102&lt;Paramètres!$B$13,Paramètres!$C$13,IF(M102&lt;Paramètres!$B$14,Paramètres!$C$14,IF(M102&lt;Paramètres!$B$15,Paramètres!$C$15,IF(M102&lt;Paramètres!$B$16,Paramètres!$C$16,IF(M102&lt;Paramètres!$B$17,Paramètres!$C$17,IF(M102&lt;Paramètres!$B$18,Paramètres!$C$18,IF(M102&lt;Paramètres!$B$19,Paramètres!$C$19,IF(M102&lt;Paramètres!$B$20,Paramètres!$C$20,IF(M102&lt;Paramètres!$B$21,Paramètres!$C$21,Paramètres!$C$22))))))))),M102),"")</f>
        <v>De 25 à 29 ans</v>
      </c>
      <c r="R102" s="1">
        <f t="shared" si="14"/>
        <v>1</v>
      </c>
      <c r="S102" s="31">
        <f t="shared" ca="1" si="11"/>
        <v>3.5833333333333335</v>
      </c>
      <c r="T102" s="1" t="str">
        <f ca="1">IF(K102=1,IF(Paramètres!$E$25,IF(S102&lt;Paramètres!$B$29,Paramètres!$C$29,IF(S102&lt;Paramètres!$B$30,Paramètres!$C$30,IF(S102&lt;Paramètres!$B$31,Paramètres!$C$31,IF(S102&lt;Paramètres!$B$32,Paramètres!$C$32,IF(S102&lt;Paramètres!$B$33,Paramètres!$C$33,IF(S102&lt;Paramètres!$B$34,Paramètres!$C$34,IF(S102&lt;Paramètres!$B$35,Paramètres!$C$35,IF(S102&lt;Paramètres!$B$36,Paramètres!$C$36,IF(S102&lt;Paramètres!$B$37,Paramètres!$C$37,Paramètres!$C$38))))))))),[3]Données!P542),"")</f>
        <v>De 3 à 6 ans</v>
      </c>
    </row>
    <row r="103" spans="1:20" hidden="1" x14ac:dyDescent="0.25">
      <c r="A103" s="47">
        <v>1508</v>
      </c>
      <c r="B103" s="47" t="s">
        <v>230</v>
      </c>
      <c r="C103" s="47" t="s">
        <v>227</v>
      </c>
      <c r="D103" s="47" t="s">
        <v>36</v>
      </c>
      <c r="E103" s="47" t="s">
        <v>55</v>
      </c>
      <c r="F103" s="48">
        <v>44896</v>
      </c>
      <c r="G103" s="49" t="s">
        <v>82</v>
      </c>
      <c r="H103" s="48">
        <v>32579</v>
      </c>
      <c r="I103" s="48">
        <f t="shared" si="12"/>
        <v>54494</v>
      </c>
      <c r="J103" s="48"/>
      <c r="K103" s="84">
        <v>1</v>
      </c>
      <c r="L103" s="48"/>
      <c r="M103" s="5">
        <f t="shared" ca="1" si="13"/>
        <v>37.25</v>
      </c>
      <c r="N103" s="42" t="s">
        <v>39</v>
      </c>
      <c r="O103" s="43" t="s">
        <v>2</v>
      </c>
      <c r="P103" s="1" t="s">
        <v>40</v>
      </c>
      <c r="Q103" s="30" t="str">
        <f ca="1">IF(K103=1,IF(Paramètres!$E$9,IF(M103&lt;Paramètres!$B$13,Paramètres!$C$13,IF(M103&lt;Paramètres!$B$14,Paramètres!$C$14,IF(M103&lt;Paramètres!$B$15,Paramètres!$C$15,IF(M103&lt;Paramètres!$B$16,Paramètres!$C$16,IF(M103&lt;Paramètres!$B$17,Paramètres!$C$17,IF(M103&lt;Paramètres!$B$18,Paramètres!$C$18,IF(M103&lt;Paramètres!$B$19,Paramètres!$C$19,IF(M103&lt;Paramètres!$B$20,Paramètres!$C$20,IF(M103&lt;Paramètres!$B$21,Paramètres!$C$21,Paramètres!$C$22))))))))),M103),"")</f>
        <v>De 35 à 39 ans</v>
      </c>
      <c r="R103" s="1">
        <f t="shared" si="14"/>
        <v>1</v>
      </c>
      <c r="S103" s="31">
        <f t="shared" ref="S103:S134" ca="1" si="15">K103*(DATEDIF(F103,TODAY(),"m")/12)</f>
        <v>3.5833333333333335</v>
      </c>
      <c r="T103" s="1" t="str">
        <f ca="1">IF(K103=1,IF(Paramètres!$E$25,IF(S103&lt;Paramètres!$B$29,Paramètres!$C$29,IF(S103&lt;Paramètres!$B$30,Paramètres!$C$30,IF(S103&lt;Paramètres!$B$31,Paramètres!$C$31,IF(S103&lt;Paramètres!$B$32,Paramètres!$C$32,IF(S103&lt;Paramètres!$B$33,Paramètres!$C$33,IF(S103&lt;Paramètres!$B$34,Paramètres!$C$34,IF(S103&lt;Paramètres!$B$35,Paramètres!$C$35,IF(S103&lt;Paramètres!$B$36,Paramètres!$C$36,IF(S103&lt;Paramètres!$B$37,Paramètres!$C$37,Paramètres!$C$38))))))))),[3]Données!P543),"")</f>
        <v>De 3 à 6 ans</v>
      </c>
    </row>
    <row r="104" spans="1:20" hidden="1" x14ac:dyDescent="0.25">
      <c r="A104" s="47">
        <v>1513</v>
      </c>
      <c r="B104" s="47" t="s">
        <v>231</v>
      </c>
      <c r="C104" s="47" t="s">
        <v>232</v>
      </c>
      <c r="D104" s="47" t="s">
        <v>36</v>
      </c>
      <c r="E104" s="47" t="s">
        <v>55</v>
      </c>
      <c r="F104" s="48">
        <v>44928</v>
      </c>
      <c r="G104" s="49" t="s">
        <v>47</v>
      </c>
      <c r="H104" s="48">
        <v>37098</v>
      </c>
      <c r="I104" s="48">
        <f t="shared" si="12"/>
        <v>59013</v>
      </c>
      <c r="J104" s="48"/>
      <c r="K104" s="84">
        <v>1</v>
      </c>
      <c r="L104" s="48"/>
      <c r="M104" s="5">
        <f t="shared" ca="1" si="13"/>
        <v>24.916666666666668</v>
      </c>
      <c r="N104" s="42" t="s">
        <v>39</v>
      </c>
      <c r="O104" s="43" t="s">
        <v>2</v>
      </c>
      <c r="P104" s="1" t="s">
        <v>40</v>
      </c>
      <c r="Q104" s="30" t="str">
        <f ca="1">IF(K104=1,IF(Paramètres!$E$9,IF(M104&lt;Paramètres!$B$13,Paramètres!$C$13,IF(M104&lt;Paramètres!$B$14,Paramètres!$C$14,IF(M104&lt;Paramètres!$B$15,Paramètres!$C$15,IF(M104&lt;Paramètres!$B$16,Paramètres!$C$16,IF(M104&lt;Paramètres!$B$17,Paramètres!$C$17,IF(M104&lt;Paramètres!$B$18,Paramètres!$C$18,IF(M104&lt;Paramètres!$B$19,Paramètres!$C$19,IF(M104&lt;Paramètres!$B$20,Paramètres!$C$20,IF(M104&lt;Paramètres!$B$21,Paramètres!$C$21,Paramètres!$C$22))))))))),M104),"")</f>
        <v>De 18 à 24 ans</v>
      </c>
      <c r="R104" s="1">
        <f t="shared" si="14"/>
        <v>1</v>
      </c>
      <c r="S104" s="31">
        <f t="shared" ca="1" si="15"/>
        <v>3.5</v>
      </c>
      <c r="T104" s="1" t="str">
        <f ca="1">IF(K104=1,IF(Paramètres!$E$25,IF(S104&lt;Paramètres!$B$29,Paramètres!$C$29,IF(S104&lt;Paramètres!$B$30,Paramètres!$C$30,IF(S104&lt;Paramètres!$B$31,Paramètres!$C$31,IF(S104&lt;Paramètres!$B$32,Paramètres!$C$32,IF(S104&lt;Paramètres!$B$33,Paramètres!$C$33,IF(S104&lt;Paramètres!$B$34,Paramètres!$C$34,IF(S104&lt;Paramètres!$B$35,Paramètres!$C$35,IF(S104&lt;Paramètres!$B$36,Paramètres!$C$36,IF(S104&lt;Paramètres!$B$37,Paramètres!$C$37,Paramètres!$C$38))))))))),[3]Données!P544),"")</f>
        <v>De 3 à 6 ans</v>
      </c>
    </row>
    <row r="105" spans="1:20" hidden="1" x14ac:dyDescent="0.25">
      <c r="A105" s="47">
        <v>1514</v>
      </c>
      <c r="B105" s="47" t="s">
        <v>233</v>
      </c>
      <c r="C105" s="47" t="s">
        <v>42</v>
      </c>
      <c r="D105" s="47" t="s">
        <v>36</v>
      </c>
      <c r="E105" s="47" t="s">
        <v>55</v>
      </c>
      <c r="F105" s="48">
        <v>44914</v>
      </c>
      <c r="G105" s="49" t="s">
        <v>82</v>
      </c>
      <c r="H105" s="48">
        <v>35412</v>
      </c>
      <c r="I105" s="48">
        <f t="shared" si="12"/>
        <v>57327</v>
      </c>
      <c r="J105" s="48"/>
      <c r="K105" s="84">
        <v>1</v>
      </c>
      <c r="L105" s="48"/>
      <c r="M105" s="5">
        <f t="shared" ca="1" si="13"/>
        <v>29.5</v>
      </c>
      <c r="N105" s="42" t="s">
        <v>39</v>
      </c>
      <c r="O105" s="43" t="s">
        <v>2</v>
      </c>
      <c r="P105" s="1" t="s">
        <v>40</v>
      </c>
      <c r="Q105" s="30" t="str">
        <f ca="1">IF(K105=1,IF(Paramètres!$E$9,IF(M105&lt;Paramètres!$B$13,Paramètres!$C$13,IF(M105&lt;Paramètres!$B$14,Paramètres!$C$14,IF(M105&lt;Paramètres!$B$15,Paramètres!$C$15,IF(M105&lt;Paramètres!$B$16,Paramètres!$C$16,IF(M105&lt;Paramètres!$B$17,Paramètres!$C$17,IF(M105&lt;Paramètres!$B$18,Paramètres!$C$18,IF(M105&lt;Paramètres!$B$19,Paramètres!$C$19,IF(M105&lt;Paramètres!$B$20,Paramètres!$C$20,IF(M105&lt;Paramètres!$B$21,Paramètres!$C$21,Paramètres!$C$22))))))))),M105),"")</f>
        <v>De 25 à 29 ans</v>
      </c>
      <c r="R105" s="1">
        <f t="shared" si="14"/>
        <v>1</v>
      </c>
      <c r="S105" s="31">
        <f t="shared" ca="1" si="15"/>
        <v>3.5</v>
      </c>
      <c r="T105" s="1" t="str">
        <f ca="1">IF(K105=1,IF(Paramètres!$E$25,IF(S105&lt;Paramètres!$B$29,Paramètres!$C$29,IF(S105&lt;Paramètres!$B$30,Paramètres!$C$30,IF(S105&lt;Paramètres!$B$31,Paramètres!$C$31,IF(S105&lt;Paramètres!$B$32,Paramètres!$C$32,IF(S105&lt;Paramètres!$B$33,Paramètres!$C$33,IF(S105&lt;Paramètres!$B$34,Paramètres!$C$34,IF(S105&lt;Paramètres!$B$35,Paramètres!$C$35,IF(S105&lt;Paramètres!$B$36,Paramètres!$C$36,IF(S105&lt;Paramètres!$B$37,Paramètres!$C$37,Paramètres!$C$38))))))))),[3]Données!P545),"")</f>
        <v>De 3 à 6 ans</v>
      </c>
    </row>
    <row r="106" spans="1:20" hidden="1" x14ac:dyDescent="0.25">
      <c r="A106" s="47">
        <v>1515</v>
      </c>
      <c r="B106" s="47" t="s">
        <v>234</v>
      </c>
      <c r="C106" s="47" t="s">
        <v>125</v>
      </c>
      <c r="D106" s="47" t="s">
        <v>36</v>
      </c>
      <c r="E106" s="47" t="s">
        <v>55</v>
      </c>
      <c r="F106" s="48">
        <v>44928</v>
      </c>
      <c r="G106" s="49" t="s">
        <v>75</v>
      </c>
      <c r="H106" s="48">
        <v>33505</v>
      </c>
      <c r="I106" s="48">
        <f t="shared" si="12"/>
        <v>55420</v>
      </c>
      <c r="J106" s="48"/>
      <c r="K106" s="84">
        <v>1</v>
      </c>
      <c r="L106" s="48"/>
      <c r="M106" s="5">
        <f t="shared" ca="1" si="13"/>
        <v>34.75</v>
      </c>
      <c r="N106" s="42" t="s">
        <v>39</v>
      </c>
      <c r="O106" s="43" t="s">
        <v>2</v>
      </c>
      <c r="P106" s="1" t="s">
        <v>40</v>
      </c>
      <c r="Q106" s="30" t="str">
        <f ca="1">IF(K106=1,IF(Paramètres!$E$9,IF(M106&lt;Paramètres!$B$13,Paramètres!$C$13,IF(M106&lt;Paramètres!$B$14,Paramètres!$C$14,IF(M106&lt;Paramètres!$B$15,Paramètres!$C$15,IF(M106&lt;Paramètres!$B$16,Paramètres!$C$16,IF(M106&lt;Paramètres!$B$17,Paramètres!$C$17,IF(M106&lt;Paramètres!$B$18,Paramètres!$C$18,IF(M106&lt;Paramètres!$B$19,Paramètres!$C$19,IF(M106&lt;Paramètres!$B$20,Paramètres!$C$20,IF(M106&lt;Paramètres!$B$21,Paramètres!$C$21,Paramètres!$C$22))))))))),M106),"")</f>
        <v>De 30 à 34 ans</v>
      </c>
      <c r="R106" s="1">
        <f t="shared" si="14"/>
        <v>1</v>
      </c>
      <c r="S106" s="31">
        <f t="shared" ca="1" si="15"/>
        <v>3.5</v>
      </c>
      <c r="T106" s="1" t="str">
        <f ca="1">IF(K106=1,IF(Paramètres!$E$25,IF(S106&lt;Paramètres!$B$29,Paramètres!$C$29,IF(S106&lt;Paramètres!$B$30,Paramètres!$C$30,IF(S106&lt;Paramètres!$B$31,Paramètres!$C$31,IF(S106&lt;Paramètres!$B$32,Paramètres!$C$32,IF(S106&lt;Paramètres!$B$33,Paramètres!$C$33,IF(S106&lt;Paramètres!$B$34,Paramètres!$C$34,IF(S106&lt;Paramètres!$B$35,Paramètres!$C$35,IF(S106&lt;Paramètres!$B$36,Paramètres!$C$36,IF(S106&lt;Paramètres!$B$37,Paramètres!$C$37,Paramètres!$C$38))))))))),[3]Données!P546),"")</f>
        <v>De 3 à 6 ans</v>
      </c>
    </row>
    <row r="107" spans="1:20" hidden="1" x14ac:dyDescent="0.25">
      <c r="A107" s="47">
        <v>1516</v>
      </c>
      <c r="B107" s="47" t="s">
        <v>235</v>
      </c>
      <c r="C107" s="47" t="s">
        <v>167</v>
      </c>
      <c r="D107" s="47" t="s">
        <v>36</v>
      </c>
      <c r="E107" s="47" t="s">
        <v>55</v>
      </c>
      <c r="F107" s="48">
        <v>44928</v>
      </c>
      <c r="G107" s="49" t="s">
        <v>47</v>
      </c>
      <c r="H107" s="48">
        <v>32738</v>
      </c>
      <c r="I107" s="48">
        <f t="shared" si="12"/>
        <v>54653</v>
      </c>
      <c r="J107" s="48"/>
      <c r="K107" s="84">
        <v>1</v>
      </c>
      <c r="L107" s="48"/>
      <c r="M107" s="5">
        <f t="shared" ca="1" si="13"/>
        <v>36.833333333333336</v>
      </c>
      <c r="N107" s="42" t="s">
        <v>39</v>
      </c>
      <c r="O107" s="43" t="s">
        <v>2</v>
      </c>
      <c r="P107" s="1" t="s">
        <v>40</v>
      </c>
      <c r="Q107" s="30" t="str">
        <f ca="1">IF(K107=1,IF(Paramètres!$E$9,IF(M107&lt;Paramètres!$B$13,Paramètres!$C$13,IF(M107&lt;Paramètres!$B$14,Paramètres!$C$14,IF(M107&lt;Paramètres!$B$15,Paramètres!$C$15,IF(M107&lt;Paramètres!$B$16,Paramètres!$C$16,IF(M107&lt;Paramètres!$B$17,Paramètres!$C$17,IF(M107&lt;Paramètres!$B$18,Paramètres!$C$18,IF(M107&lt;Paramètres!$B$19,Paramètres!$C$19,IF(M107&lt;Paramètres!$B$20,Paramètres!$C$20,IF(M107&lt;Paramètres!$B$21,Paramètres!$C$21,Paramètres!$C$22))))))))),M107),"")</f>
        <v>De 35 à 39 ans</v>
      </c>
      <c r="R107" s="1">
        <f t="shared" si="14"/>
        <v>1</v>
      </c>
      <c r="S107" s="31">
        <f t="shared" ca="1" si="15"/>
        <v>3.5</v>
      </c>
      <c r="T107" s="1" t="str">
        <f ca="1">IF(K107=1,IF(Paramètres!$E$25,IF(S107&lt;Paramètres!$B$29,Paramètres!$C$29,IF(S107&lt;Paramètres!$B$30,Paramètres!$C$30,IF(S107&lt;Paramètres!$B$31,Paramètres!$C$31,IF(S107&lt;Paramètres!$B$32,Paramètres!$C$32,IF(S107&lt;Paramètres!$B$33,Paramètres!$C$33,IF(S107&lt;Paramètres!$B$34,Paramètres!$C$34,IF(S107&lt;Paramètres!$B$35,Paramètres!$C$35,IF(S107&lt;Paramètres!$B$36,Paramètres!$C$36,IF(S107&lt;Paramètres!$B$37,Paramètres!$C$37,Paramètres!$C$38))))))))),[3]Données!P547),"")</f>
        <v>De 3 à 6 ans</v>
      </c>
    </row>
    <row r="108" spans="1:20" hidden="1" x14ac:dyDescent="0.25">
      <c r="A108" s="47">
        <v>1525</v>
      </c>
      <c r="B108" s="47" t="s">
        <v>236</v>
      </c>
      <c r="C108" s="47" t="s">
        <v>237</v>
      </c>
      <c r="D108" s="47" t="s">
        <v>36</v>
      </c>
      <c r="E108" s="47" t="s">
        <v>55</v>
      </c>
      <c r="F108" s="48">
        <v>44972</v>
      </c>
      <c r="G108" s="49" t="s">
        <v>47</v>
      </c>
      <c r="H108" s="48">
        <v>37555</v>
      </c>
      <c r="I108" s="48">
        <f t="shared" si="12"/>
        <v>59470</v>
      </c>
      <c r="J108" s="48"/>
      <c r="K108" s="84">
        <v>1</v>
      </c>
      <c r="L108" s="48"/>
      <c r="M108" s="5">
        <f t="shared" ca="1" si="13"/>
        <v>23.666666666666668</v>
      </c>
      <c r="N108" s="42" t="s">
        <v>39</v>
      </c>
      <c r="O108" s="43" t="s">
        <v>2</v>
      </c>
      <c r="P108" s="1" t="s">
        <v>40</v>
      </c>
      <c r="Q108" s="30" t="str">
        <f ca="1">IF(K108=1,IF(Paramètres!$E$9,IF(M108&lt;Paramètres!$B$13,Paramètres!$C$13,IF(M108&lt;Paramètres!$B$14,Paramètres!$C$14,IF(M108&lt;Paramètres!$B$15,Paramètres!$C$15,IF(M108&lt;Paramètres!$B$16,Paramètres!$C$16,IF(M108&lt;Paramètres!$B$17,Paramètres!$C$17,IF(M108&lt;Paramètres!$B$18,Paramètres!$C$18,IF(M108&lt;Paramètres!$B$19,Paramètres!$C$19,IF(M108&lt;Paramètres!$B$20,Paramètres!$C$20,IF(M108&lt;Paramètres!$B$21,Paramètres!$C$21,Paramètres!$C$22))))))))),M108),"")</f>
        <v>De 18 à 24 ans</v>
      </c>
      <c r="R108" s="1">
        <f t="shared" si="14"/>
        <v>1</v>
      </c>
      <c r="S108" s="31">
        <f t="shared" ca="1" si="15"/>
        <v>3.3333333333333335</v>
      </c>
      <c r="T108" s="1" t="str">
        <f ca="1">IF(K108=1,IF(Paramètres!$E$25,IF(S108&lt;Paramètres!$B$29,Paramètres!$C$29,IF(S108&lt;Paramètres!$B$30,Paramètres!$C$30,IF(S108&lt;Paramètres!$B$31,Paramètres!$C$31,IF(S108&lt;Paramètres!$B$32,Paramètres!$C$32,IF(S108&lt;Paramètres!$B$33,Paramètres!$C$33,IF(S108&lt;Paramètres!$B$34,Paramètres!$C$34,IF(S108&lt;Paramètres!$B$35,Paramètres!$C$35,IF(S108&lt;Paramètres!$B$36,Paramètres!$C$36,IF(S108&lt;Paramètres!$B$37,Paramètres!$C$37,Paramètres!$C$38))))))))),[3]Données!P548),"")</f>
        <v>De 3 à 6 ans</v>
      </c>
    </row>
    <row r="109" spans="1:20" hidden="1" x14ac:dyDescent="0.25">
      <c r="A109" s="47">
        <v>1532</v>
      </c>
      <c r="B109" s="47" t="s">
        <v>238</v>
      </c>
      <c r="C109" s="47" t="s">
        <v>239</v>
      </c>
      <c r="D109" s="47" t="s">
        <v>36</v>
      </c>
      <c r="E109" s="47" t="s">
        <v>55</v>
      </c>
      <c r="F109" s="48">
        <v>44986</v>
      </c>
      <c r="G109" s="49" t="s">
        <v>198</v>
      </c>
      <c r="H109" s="48">
        <v>31779</v>
      </c>
      <c r="I109" s="48">
        <f t="shared" si="12"/>
        <v>53694</v>
      </c>
      <c r="J109" s="48"/>
      <c r="K109" s="84">
        <v>1</v>
      </c>
      <c r="L109" s="48"/>
      <c r="M109" s="5">
        <f t="shared" ca="1" si="13"/>
        <v>39.5</v>
      </c>
      <c r="N109" s="42" t="s">
        <v>39</v>
      </c>
      <c r="O109" s="43" t="s">
        <v>2</v>
      </c>
      <c r="P109" s="1" t="s">
        <v>40</v>
      </c>
      <c r="Q109" s="30" t="str">
        <f ca="1">IF(K109=1,IF(Paramètres!$E$9,IF(M109&lt;Paramètres!$B$13,Paramètres!$C$13,IF(M109&lt;Paramètres!$B$14,Paramètres!$C$14,IF(M109&lt;Paramètres!$B$15,Paramètres!$C$15,IF(M109&lt;Paramètres!$B$16,Paramètres!$C$16,IF(M109&lt;Paramètres!$B$17,Paramètres!$C$17,IF(M109&lt;Paramètres!$B$18,Paramètres!$C$18,IF(M109&lt;Paramètres!$B$19,Paramètres!$C$19,IF(M109&lt;Paramètres!$B$20,Paramètres!$C$20,IF(M109&lt;Paramètres!$B$21,Paramètres!$C$21,Paramètres!$C$22))))))))),M109),"")</f>
        <v>De 35 à 39 ans</v>
      </c>
      <c r="R109" s="1">
        <f t="shared" si="14"/>
        <v>1</v>
      </c>
      <c r="S109" s="31">
        <f t="shared" ca="1" si="15"/>
        <v>3.3333333333333335</v>
      </c>
      <c r="T109" s="1" t="str">
        <f ca="1">IF(K109=1,IF(Paramètres!$E$25,IF(S109&lt;Paramètres!$B$29,Paramètres!$C$29,IF(S109&lt;Paramètres!$B$30,Paramètres!$C$30,IF(S109&lt;Paramètres!$B$31,Paramètres!$C$31,IF(S109&lt;Paramètres!$B$32,Paramètres!$C$32,IF(S109&lt;Paramètres!$B$33,Paramètres!$C$33,IF(S109&lt;Paramètres!$B$34,Paramètres!$C$34,IF(S109&lt;Paramètres!$B$35,Paramètres!$C$35,IF(S109&lt;Paramètres!$B$36,Paramètres!$C$36,IF(S109&lt;Paramètres!$B$37,Paramètres!$C$37,Paramètres!$C$38))))))))),[3]Données!P549),"")</f>
        <v>De 3 à 6 ans</v>
      </c>
    </row>
    <row r="110" spans="1:20" hidden="1" x14ac:dyDescent="0.25">
      <c r="A110" s="47">
        <v>1536</v>
      </c>
      <c r="B110" s="47" t="s">
        <v>240</v>
      </c>
      <c r="C110" s="47" t="s">
        <v>241</v>
      </c>
      <c r="D110" s="47" t="s">
        <v>36</v>
      </c>
      <c r="E110" s="47" t="s">
        <v>55</v>
      </c>
      <c r="F110" s="48">
        <v>44986</v>
      </c>
      <c r="G110" s="49" t="s">
        <v>47</v>
      </c>
      <c r="H110" s="48">
        <v>34396</v>
      </c>
      <c r="I110" s="48">
        <f t="shared" si="12"/>
        <v>56311</v>
      </c>
      <c r="J110" s="48"/>
      <c r="K110" s="84">
        <v>1</v>
      </c>
      <c r="L110" s="48"/>
      <c r="M110" s="5">
        <f t="shared" ca="1" si="13"/>
        <v>32.333333333333336</v>
      </c>
      <c r="N110" s="42" t="s">
        <v>39</v>
      </c>
      <c r="O110" s="43" t="s">
        <v>2</v>
      </c>
      <c r="P110" s="1" t="s">
        <v>40</v>
      </c>
      <c r="Q110" s="30" t="str">
        <f ca="1">IF(K110=1,IF(Paramètres!$E$9,IF(M110&lt;Paramètres!$B$13,Paramètres!$C$13,IF(M110&lt;Paramètres!$B$14,Paramètres!$C$14,IF(M110&lt;Paramètres!$B$15,Paramètres!$C$15,IF(M110&lt;Paramètres!$B$16,Paramètres!$C$16,IF(M110&lt;Paramètres!$B$17,Paramètres!$C$17,IF(M110&lt;Paramètres!$B$18,Paramètres!$C$18,IF(M110&lt;Paramètres!$B$19,Paramètres!$C$19,IF(M110&lt;Paramètres!$B$20,Paramètres!$C$20,IF(M110&lt;Paramètres!$B$21,Paramètres!$C$21,Paramètres!$C$22))))))))),M110),"")</f>
        <v>De 30 à 34 ans</v>
      </c>
      <c r="R110" s="1">
        <f t="shared" si="14"/>
        <v>1</v>
      </c>
      <c r="S110" s="31">
        <f t="shared" ca="1" si="15"/>
        <v>3.3333333333333335</v>
      </c>
      <c r="T110" s="1" t="str">
        <f ca="1">IF(K110=1,IF(Paramètres!$E$25,IF(S110&lt;Paramètres!$B$29,Paramètres!$C$29,IF(S110&lt;Paramètres!$B$30,Paramètres!$C$30,IF(S110&lt;Paramètres!$B$31,Paramètres!$C$31,IF(S110&lt;Paramètres!$B$32,Paramètres!$C$32,IF(S110&lt;Paramètres!$B$33,Paramètres!$C$33,IF(S110&lt;Paramètres!$B$34,Paramètres!$C$34,IF(S110&lt;Paramètres!$B$35,Paramètres!$C$35,IF(S110&lt;Paramètres!$B$36,Paramètres!$C$36,IF(S110&lt;Paramètres!$B$37,Paramètres!$C$37,Paramètres!$C$38))))))))),[3]Données!P550),"")</f>
        <v>De 3 à 6 ans</v>
      </c>
    </row>
    <row r="111" spans="1:20" hidden="1" x14ac:dyDescent="0.25">
      <c r="A111" s="47">
        <v>1537</v>
      </c>
      <c r="B111" s="47" t="s">
        <v>242</v>
      </c>
      <c r="C111" s="47" t="s">
        <v>243</v>
      </c>
      <c r="D111" s="47" t="s">
        <v>36</v>
      </c>
      <c r="E111" s="47" t="s">
        <v>55</v>
      </c>
      <c r="F111" s="48">
        <v>44986</v>
      </c>
      <c r="G111" s="49" t="s">
        <v>47</v>
      </c>
      <c r="H111" s="48">
        <v>35885</v>
      </c>
      <c r="I111" s="48">
        <f t="shared" si="12"/>
        <v>57800</v>
      </c>
      <c r="J111" s="48"/>
      <c r="K111" s="84">
        <v>1</v>
      </c>
      <c r="L111" s="48"/>
      <c r="M111" s="5">
        <f t="shared" ca="1" si="13"/>
        <v>28.25</v>
      </c>
      <c r="N111" s="42" t="s">
        <v>39</v>
      </c>
      <c r="O111" s="43" t="s">
        <v>2</v>
      </c>
      <c r="P111" s="1" t="s">
        <v>40</v>
      </c>
      <c r="Q111" s="30" t="str">
        <f ca="1">IF(K111=1,IF(Paramètres!$E$9,IF(M111&lt;Paramètres!$B$13,Paramètres!$C$13,IF(M111&lt;Paramètres!$B$14,Paramètres!$C$14,IF(M111&lt;Paramètres!$B$15,Paramètres!$C$15,IF(M111&lt;Paramètres!$B$16,Paramètres!$C$16,IF(M111&lt;Paramètres!$B$17,Paramètres!$C$17,IF(M111&lt;Paramètres!$B$18,Paramètres!$C$18,IF(M111&lt;Paramètres!$B$19,Paramètres!$C$19,IF(M111&lt;Paramètres!$B$20,Paramètres!$C$20,IF(M111&lt;Paramètres!$B$21,Paramètres!$C$21,Paramètres!$C$22))))))))),M111),"")</f>
        <v>De 25 à 29 ans</v>
      </c>
      <c r="R111" s="1">
        <f t="shared" si="14"/>
        <v>1</v>
      </c>
      <c r="S111" s="31">
        <f t="shared" ca="1" si="15"/>
        <v>3.3333333333333335</v>
      </c>
      <c r="T111" s="1" t="str">
        <f ca="1">IF(K111=1,IF(Paramètres!$E$25,IF(S111&lt;Paramètres!$B$29,Paramètres!$C$29,IF(S111&lt;Paramètres!$B$30,Paramètres!$C$30,IF(S111&lt;Paramètres!$B$31,Paramètres!$C$31,IF(S111&lt;Paramètres!$B$32,Paramètres!$C$32,IF(S111&lt;Paramètres!$B$33,Paramètres!$C$33,IF(S111&lt;Paramètres!$B$34,Paramètres!$C$34,IF(S111&lt;Paramètres!$B$35,Paramètres!$C$35,IF(S111&lt;Paramètres!$B$36,Paramètres!$C$36,IF(S111&lt;Paramètres!$B$37,Paramètres!$C$37,Paramètres!$C$38))))))))),[3]Données!P551),"")</f>
        <v>De 3 à 6 ans</v>
      </c>
    </row>
    <row r="112" spans="1:20" hidden="1" x14ac:dyDescent="0.25">
      <c r="A112" s="47">
        <v>1538</v>
      </c>
      <c r="B112" s="47" t="s">
        <v>244</v>
      </c>
      <c r="C112" s="47" t="s">
        <v>245</v>
      </c>
      <c r="D112" s="47" t="s">
        <v>36</v>
      </c>
      <c r="E112" s="47" t="s">
        <v>55</v>
      </c>
      <c r="F112" s="48">
        <v>44998</v>
      </c>
      <c r="G112" s="49" t="s">
        <v>47</v>
      </c>
      <c r="H112" s="48">
        <v>35942</v>
      </c>
      <c r="I112" s="48">
        <f t="shared" si="12"/>
        <v>57857</v>
      </c>
      <c r="J112" s="48"/>
      <c r="K112" s="84">
        <v>1</v>
      </c>
      <c r="L112" s="48"/>
      <c r="M112" s="5">
        <f t="shared" ca="1" si="13"/>
        <v>28.083333333333332</v>
      </c>
      <c r="N112" s="42" t="s">
        <v>39</v>
      </c>
      <c r="O112" s="43" t="s">
        <v>2</v>
      </c>
      <c r="P112" s="1" t="s">
        <v>40</v>
      </c>
      <c r="Q112" s="30" t="str">
        <f ca="1">IF(K112=1,IF(Paramètres!$E$9,IF(M112&lt;Paramètres!$B$13,Paramètres!$C$13,IF(M112&lt;Paramètres!$B$14,Paramètres!$C$14,IF(M112&lt;Paramètres!$B$15,Paramètres!$C$15,IF(M112&lt;Paramètres!$B$16,Paramètres!$C$16,IF(M112&lt;Paramètres!$B$17,Paramètres!$C$17,IF(M112&lt;Paramètres!$B$18,Paramètres!$C$18,IF(M112&lt;Paramètres!$B$19,Paramètres!$C$19,IF(M112&lt;Paramètres!$B$20,Paramètres!$C$20,IF(M112&lt;Paramètres!$B$21,Paramètres!$C$21,Paramètres!$C$22))))))))),M112),"")</f>
        <v>De 25 à 29 ans</v>
      </c>
      <c r="R112" s="1">
        <f t="shared" si="14"/>
        <v>1</v>
      </c>
      <c r="S112" s="31">
        <f t="shared" ca="1" si="15"/>
        <v>3.25</v>
      </c>
      <c r="T112" s="1" t="str">
        <f ca="1">IF(K112=1,IF(Paramètres!$E$25,IF(S112&lt;Paramètres!$B$29,Paramètres!$C$29,IF(S112&lt;Paramètres!$B$30,Paramètres!$C$30,IF(S112&lt;Paramètres!$B$31,Paramètres!$C$31,IF(S112&lt;Paramètres!$B$32,Paramètres!$C$32,IF(S112&lt;Paramètres!$B$33,Paramètres!$C$33,IF(S112&lt;Paramètres!$B$34,Paramètres!$C$34,IF(S112&lt;Paramètres!$B$35,Paramètres!$C$35,IF(S112&lt;Paramètres!$B$36,Paramètres!$C$36,IF(S112&lt;Paramètres!$B$37,Paramètres!$C$37,Paramètres!$C$38))))))))),[3]Données!P552),"")</f>
        <v>De 3 à 6 ans</v>
      </c>
    </row>
    <row r="113" spans="1:20" hidden="1" x14ac:dyDescent="0.25">
      <c r="A113" s="47">
        <v>1551</v>
      </c>
      <c r="B113" s="47" t="s">
        <v>246</v>
      </c>
      <c r="C113" s="47" t="s">
        <v>108</v>
      </c>
      <c r="D113" s="47" t="s">
        <v>36</v>
      </c>
      <c r="E113" s="47" t="s">
        <v>162</v>
      </c>
      <c r="F113" s="48">
        <v>45048</v>
      </c>
      <c r="G113" s="49" t="s">
        <v>247</v>
      </c>
      <c r="H113" s="48">
        <v>32370</v>
      </c>
      <c r="I113" s="48">
        <f t="shared" si="12"/>
        <v>54285</v>
      </c>
      <c r="J113" s="48"/>
      <c r="K113" s="84">
        <v>1</v>
      </c>
      <c r="L113" s="48"/>
      <c r="M113" s="5">
        <f t="shared" ca="1" si="13"/>
        <v>37.833333333333336</v>
      </c>
      <c r="N113" s="43" t="s">
        <v>39</v>
      </c>
      <c r="O113" s="43" t="s">
        <v>2</v>
      </c>
      <c r="P113" s="1" t="s">
        <v>40</v>
      </c>
      <c r="Q113" s="30" t="str">
        <f ca="1">IF(K113=1,IF(Paramètres!$E$9,IF(M113&lt;Paramètres!$B$13,Paramètres!$C$13,IF(M113&lt;Paramètres!$B$14,Paramètres!$C$14,IF(M113&lt;Paramètres!$B$15,Paramètres!$C$15,IF(M113&lt;Paramètres!$B$16,Paramètres!$C$16,IF(M113&lt;Paramètres!$B$17,Paramètres!$C$17,IF(M113&lt;Paramètres!$B$18,Paramètres!$C$18,IF(M113&lt;Paramètres!$B$19,Paramètres!$C$19,IF(M113&lt;Paramètres!$B$20,Paramètres!$C$20,IF(M113&lt;Paramètres!$B$21,Paramètres!$C$21,Paramètres!$C$22))))))))),M113),"")</f>
        <v>De 35 à 39 ans</v>
      </c>
      <c r="R113" s="1">
        <f t="shared" si="14"/>
        <v>1</v>
      </c>
      <c r="S113" s="31">
        <f t="shared" ca="1" si="15"/>
        <v>3.1666666666666665</v>
      </c>
      <c r="T113" s="1" t="str">
        <f ca="1">IF(K113=1,IF(Paramètres!$E$25,IF(S113&lt;Paramètres!$B$29,Paramètres!$C$29,IF(S113&lt;Paramètres!$B$30,Paramètres!$C$30,IF(S113&lt;Paramètres!$B$31,Paramètres!$C$31,IF(S113&lt;Paramètres!$B$32,Paramètres!$C$32,IF(S113&lt;Paramètres!$B$33,Paramètres!$C$33,IF(S113&lt;Paramètres!$B$34,Paramètres!$C$34,IF(S113&lt;Paramètres!$B$35,Paramètres!$C$35,IF(S113&lt;Paramètres!$B$36,Paramètres!$C$36,IF(S113&lt;Paramètres!$B$37,Paramètres!$C$37,Paramètres!$C$38))))))))),[3]Données!P553),"")</f>
        <v>De 3 à 6 ans</v>
      </c>
    </row>
    <row r="114" spans="1:20" hidden="1" x14ac:dyDescent="0.25">
      <c r="A114" s="47">
        <v>1552</v>
      </c>
      <c r="B114" s="47" t="s">
        <v>248</v>
      </c>
      <c r="C114" s="47" t="s">
        <v>108</v>
      </c>
      <c r="D114" s="47" t="s">
        <v>36</v>
      </c>
      <c r="E114" s="47" t="s">
        <v>55</v>
      </c>
      <c r="F114" s="48">
        <v>45047</v>
      </c>
      <c r="G114" s="49"/>
      <c r="H114" s="48">
        <v>33786</v>
      </c>
      <c r="I114" s="48">
        <f t="shared" si="12"/>
        <v>55701</v>
      </c>
      <c r="J114" s="48"/>
      <c r="K114" s="84">
        <v>1</v>
      </c>
      <c r="L114" s="48"/>
      <c r="M114" s="5">
        <f t="shared" ca="1" si="13"/>
        <v>34</v>
      </c>
      <c r="N114" s="42" t="s">
        <v>39</v>
      </c>
      <c r="O114" s="43" t="s">
        <v>2</v>
      </c>
      <c r="P114" s="1" t="s">
        <v>40</v>
      </c>
      <c r="Q114" s="30" t="str">
        <f ca="1">IF(K114=1,IF(Paramètres!$E$9,IF(M114&lt;Paramètres!$B$13,Paramètres!$C$13,IF(M114&lt;Paramètres!$B$14,Paramètres!$C$14,IF(M114&lt;Paramètres!$B$15,Paramètres!$C$15,IF(M114&lt;Paramètres!$B$16,Paramètres!$C$16,IF(M114&lt;Paramètres!$B$17,Paramètres!$C$17,IF(M114&lt;Paramètres!$B$18,Paramètres!$C$18,IF(M114&lt;Paramètres!$B$19,Paramètres!$C$19,IF(M114&lt;Paramètres!$B$20,Paramètres!$C$20,IF(M114&lt;Paramètres!$B$21,Paramètres!$C$21,Paramètres!$C$22))))))))),M114),"")</f>
        <v>De 30 à 34 ans</v>
      </c>
      <c r="R114" s="1">
        <f t="shared" si="14"/>
        <v>1</v>
      </c>
      <c r="S114" s="31">
        <f t="shared" ca="1" si="15"/>
        <v>3.1666666666666665</v>
      </c>
      <c r="T114" s="1" t="str">
        <f ca="1">IF(K114=1,IF(Paramètres!$E$25,IF(S114&lt;Paramètres!$B$29,Paramètres!$C$29,IF(S114&lt;Paramètres!$B$30,Paramètres!$C$30,IF(S114&lt;Paramètres!$B$31,Paramètres!$C$31,IF(S114&lt;Paramètres!$B$32,Paramètres!$C$32,IF(S114&lt;Paramètres!$B$33,Paramètres!$C$33,IF(S114&lt;Paramètres!$B$34,Paramètres!$C$34,IF(S114&lt;Paramètres!$B$35,Paramètres!$C$35,IF(S114&lt;Paramètres!$B$36,Paramètres!$C$36,IF(S114&lt;Paramètres!$B$37,Paramètres!$C$37,Paramètres!$C$38))))))))),[3]Données!P554),"")</f>
        <v>De 3 à 6 ans</v>
      </c>
    </row>
    <row r="115" spans="1:20" hidden="1" x14ac:dyDescent="0.25">
      <c r="A115" s="47">
        <v>1556</v>
      </c>
      <c r="B115" s="47" t="s">
        <v>249</v>
      </c>
      <c r="C115" s="47" t="s">
        <v>250</v>
      </c>
      <c r="D115" s="47" t="s">
        <v>36</v>
      </c>
      <c r="E115" s="47" t="s">
        <v>162</v>
      </c>
      <c r="F115" s="48">
        <v>45087</v>
      </c>
      <c r="G115" s="49" t="s">
        <v>251</v>
      </c>
      <c r="H115" s="48">
        <v>33617</v>
      </c>
      <c r="I115" s="48">
        <f t="shared" si="12"/>
        <v>55532</v>
      </c>
      <c r="J115" s="48"/>
      <c r="K115" s="84">
        <v>1</v>
      </c>
      <c r="L115" s="48"/>
      <c r="M115" s="5">
        <f t="shared" ca="1" si="13"/>
        <v>34.416666666666664</v>
      </c>
      <c r="N115" s="43" t="s">
        <v>39</v>
      </c>
      <c r="O115" s="43" t="s">
        <v>2</v>
      </c>
      <c r="P115" s="1" t="s">
        <v>40</v>
      </c>
      <c r="Q115" s="30" t="str">
        <f ca="1">IF(K115=1,IF(Paramètres!$E$9,IF(M115&lt;Paramètres!$B$13,Paramètres!$C$13,IF(M115&lt;Paramètres!$B$14,Paramètres!$C$14,IF(M115&lt;Paramètres!$B$15,Paramètres!$C$15,IF(M115&lt;Paramètres!$B$16,Paramètres!$C$16,IF(M115&lt;Paramètres!$B$17,Paramètres!$C$17,IF(M115&lt;Paramètres!$B$18,Paramètres!$C$18,IF(M115&lt;Paramètres!$B$19,Paramètres!$C$19,IF(M115&lt;Paramètres!$B$20,Paramètres!$C$20,IF(M115&lt;Paramètres!$B$21,Paramètres!$C$21,Paramètres!$C$22))))))))),M115),"")</f>
        <v>De 30 à 34 ans</v>
      </c>
      <c r="R115" s="1">
        <f t="shared" si="14"/>
        <v>1</v>
      </c>
      <c r="S115" s="31">
        <f t="shared" ca="1" si="15"/>
        <v>3</v>
      </c>
      <c r="T115" s="1" t="str">
        <f ca="1">IF(K115=1,IF(Paramètres!$E$25,IF(S115&lt;Paramètres!$B$29,Paramètres!$C$29,IF(S115&lt;Paramètres!$B$30,Paramètres!$C$30,IF(S115&lt;Paramètres!$B$31,Paramètres!$C$31,IF(S115&lt;Paramètres!$B$32,Paramètres!$C$32,IF(S115&lt;Paramètres!$B$33,Paramètres!$C$33,IF(S115&lt;Paramètres!$B$34,Paramètres!$C$34,IF(S115&lt;Paramètres!$B$35,Paramètres!$C$35,IF(S115&lt;Paramètres!$B$36,Paramètres!$C$36,IF(S115&lt;Paramètres!$B$37,Paramètres!$C$37,Paramètres!$C$38))))))))),[3]Données!P555),"")</f>
        <v>De 3 à 6 ans</v>
      </c>
    </row>
    <row r="116" spans="1:20" hidden="1" x14ac:dyDescent="0.25">
      <c r="A116" s="47">
        <v>1559</v>
      </c>
      <c r="B116" s="47" t="s">
        <v>252</v>
      </c>
      <c r="C116" s="47" t="s">
        <v>253</v>
      </c>
      <c r="D116" s="47" t="s">
        <v>36</v>
      </c>
      <c r="E116" s="47" t="s">
        <v>55</v>
      </c>
      <c r="F116" s="48">
        <v>45108</v>
      </c>
      <c r="G116" s="49"/>
      <c r="H116" s="48">
        <v>33792</v>
      </c>
      <c r="I116" s="48">
        <f t="shared" si="12"/>
        <v>55707</v>
      </c>
      <c r="J116" s="48"/>
      <c r="K116" s="84">
        <v>1</v>
      </c>
      <c r="L116" s="48"/>
      <c r="M116" s="5">
        <f t="shared" ca="1" si="13"/>
        <v>34</v>
      </c>
      <c r="N116" s="42" t="s">
        <v>39</v>
      </c>
      <c r="O116" s="43" t="s">
        <v>2</v>
      </c>
      <c r="P116" s="1" t="s">
        <v>40</v>
      </c>
      <c r="Q116" s="30" t="str">
        <f ca="1">IF(K116=1,IF(Paramètres!$E$9,IF(M116&lt;Paramètres!$B$13,Paramètres!$C$13,IF(M116&lt;Paramètres!$B$14,Paramètres!$C$14,IF(M116&lt;Paramètres!$B$15,Paramètres!$C$15,IF(M116&lt;Paramètres!$B$16,Paramètres!$C$16,IF(M116&lt;Paramètres!$B$17,Paramètres!$C$17,IF(M116&lt;Paramètres!$B$18,Paramètres!$C$18,IF(M116&lt;Paramètres!$B$19,Paramètres!$C$19,IF(M116&lt;Paramètres!$B$20,Paramètres!$C$20,IF(M116&lt;Paramètres!$B$21,Paramètres!$C$21,Paramètres!$C$22))))))))),M116),"")</f>
        <v>De 30 à 34 ans</v>
      </c>
      <c r="R116" s="1">
        <f t="shared" si="14"/>
        <v>1</v>
      </c>
      <c r="S116" s="31">
        <f t="shared" ca="1" si="15"/>
        <v>3</v>
      </c>
      <c r="T116" s="1" t="str">
        <f ca="1">IF(K116=1,IF(Paramètres!$E$25,IF(S116&lt;Paramètres!$B$29,Paramètres!$C$29,IF(S116&lt;Paramètres!$B$30,Paramètres!$C$30,IF(S116&lt;Paramètres!$B$31,Paramètres!$C$31,IF(S116&lt;Paramètres!$B$32,Paramètres!$C$32,IF(S116&lt;Paramètres!$B$33,Paramètres!$C$33,IF(S116&lt;Paramètres!$B$34,Paramètres!$C$34,IF(S116&lt;Paramètres!$B$35,Paramètres!$C$35,IF(S116&lt;Paramètres!$B$36,Paramètres!$C$36,IF(S116&lt;Paramètres!$B$37,Paramètres!$C$37,Paramètres!$C$38))))))))),[3]Données!P556),"")</f>
        <v>De 3 à 6 ans</v>
      </c>
    </row>
    <row r="117" spans="1:20" hidden="1" x14ac:dyDescent="0.25">
      <c r="A117" s="47">
        <v>1565</v>
      </c>
      <c r="B117" s="47" t="s">
        <v>254</v>
      </c>
      <c r="C117" s="47" t="s">
        <v>255</v>
      </c>
      <c r="D117" s="47" t="s">
        <v>36</v>
      </c>
      <c r="E117" s="47" t="s">
        <v>55</v>
      </c>
      <c r="F117" s="48">
        <v>45139</v>
      </c>
      <c r="G117" s="49"/>
      <c r="H117" s="48">
        <v>35249</v>
      </c>
      <c r="I117" s="48">
        <f t="shared" si="12"/>
        <v>57164</v>
      </c>
      <c r="J117" s="48"/>
      <c r="K117" s="84">
        <v>1</v>
      </c>
      <c r="L117" s="48"/>
      <c r="M117" s="5">
        <f t="shared" ca="1" si="13"/>
        <v>30</v>
      </c>
      <c r="N117" s="42" t="s">
        <v>39</v>
      </c>
      <c r="O117" s="43" t="s">
        <v>2</v>
      </c>
      <c r="P117" s="1" t="s">
        <v>40</v>
      </c>
      <c r="Q117" s="30" t="str">
        <f ca="1">IF(K117=1,IF(Paramètres!$E$9,IF(M117&lt;Paramètres!$B$13,Paramètres!$C$13,IF(M117&lt;Paramètres!$B$14,Paramètres!$C$14,IF(M117&lt;Paramètres!$B$15,Paramètres!$C$15,IF(M117&lt;Paramètres!$B$16,Paramètres!$C$16,IF(M117&lt;Paramètres!$B$17,Paramètres!$C$17,IF(M117&lt;Paramètres!$B$18,Paramètres!$C$18,IF(M117&lt;Paramètres!$B$19,Paramètres!$C$19,IF(M117&lt;Paramètres!$B$20,Paramètres!$C$20,IF(M117&lt;Paramètres!$B$21,Paramètres!$C$21,Paramètres!$C$22))))))))),M117),"")</f>
        <v>De 30 à 34 ans</v>
      </c>
      <c r="R117" s="1">
        <f t="shared" si="14"/>
        <v>1</v>
      </c>
      <c r="S117" s="31">
        <f t="shared" ca="1" si="15"/>
        <v>2.9166666666666665</v>
      </c>
      <c r="T117" s="1" t="str">
        <f ca="1">IF(K117=1,IF(Paramètres!$E$25,IF(S117&lt;Paramètres!$B$29,Paramètres!$C$29,IF(S117&lt;Paramètres!$B$30,Paramètres!$C$30,IF(S117&lt;Paramètres!$B$31,Paramètres!$C$31,IF(S117&lt;Paramètres!$B$32,Paramètres!$C$32,IF(S117&lt;Paramètres!$B$33,Paramètres!$C$33,IF(S117&lt;Paramètres!$B$34,Paramètres!$C$34,IF(S117&lt;Paramètres!$B$35,Paramètres!$C$35,IF(S117&lt;Paramètres!$B$36,Paramètres!$C$36,IF(S117&lt;Paramètres!$B$37,Paramètres!$C$37,Paramètres!$C$38))))))))),[3]Données!P557),"")</f>
        <v>De 0 à 3 ans</v>
      </c>
    </row>
    <row r="118" spans="1:20" hidden="1" x14ac:dyDescent="0.25">
      <c r="A118" s="47">
        <v>1571</v>
      </c>
      <c r="B118" s="47" t="s">
        <v>256</v>
      </c>
      <c r="C118" s="47" t="s">
        <v>257</v>
      </c>
      <c r="D118" s="47" t="s">
        <v>36</v>
      </c>
      <c r="E118" s="47" t="s">
        <v>37</v>
      </c>
      <c r="F118" s="48">
        <v>45201</v>
      </c>
      <c r="G118" s="49"/>
      <c r="H118" s="48">
        <v>32422</v>
      </c>
      <c r="I118" s="48">
        <f t="shared" si="12"/>
        <v>54337</v>
      </c>
      <c r="J118" s="48"/>
      <c r="K118" s="84">
        <v>1</v>
      </c>
      <c r="L118" s="48"/>
      <c r="M118" s="5">
        <f t="shared" ca="1" si="13"/>
        <v>37.75</v>
      </c>
      <c r="N118" s="42" t="s">
        <v>39</v>
      </c>
      <c r="O118" s="43" t="s">
        <v>2</v>
      </c>
      <c r="P118" s="1" t="s">
        <v>40</v>
      </c>
      <c r="Q118" s="30" t="str">
        <f ca="1">IF(K118=1,IF(Paramètres!$E$9,IF(M118&lt;Paramètres!$B$13,Paramètres!$C$13,IF(M118&lt;Paramètres!$B$14,Paramètres!$C$14,IF(M118&lt;Paramètres!$B$15,Paramètres!$C$15,IF(M118&lt;Paramètres!$B$16,Paramètres!$C$16,IF(M118&lt;Paramètres!$B$17,Paramètres!$C$17,IF(M118&lt;Paramètres!$B$18,Paramètres!$C$18,IF(M118&lt;Paramètres!$B$19,Paramètres!$C$19,IF(M118&lt;Paramètres!$B$20,Paramètres!$C$20,IF(M118&lt;Paramètres!$B$21,Paramètres!$C$21,Paramètres!$C$22))))))))),M118),"")</f>
        <v>De 35 à 39 ans</v>
      </c>
      <c r="R118" s="1">
        <f t="shared" si="14"/>
        <v>1</v>
      </c>
      <c r="S118" s="31">
        <f t="shared" ca="1" si="15"/>
        <v>2.75</v>
      </c>
      <c r="T118" s="1" t="str">
        <f ca="1">IF(K118=1,IF(Paramètres!$E$25,IF(S118&lt;Paramètres!$B$29,Paramètres!$C$29,IF(S118&lt;Paramètres!$B$30,Paramètres!$C$30,IF(S118&lt;Paramètres!$B$31,Paramètres!$C$31,IF(S118&lt;Paramètres!$B$32,Paramètres!$C$32,IF(S118&lt;Paramètres!$B$33,Paramètres!$C$33,IF(S118&lt;Paramètres!$B$34,Paramètres!$C$34,IF(S118&lt;Paramètres!$B$35,Paramètres!$C$35,IF(S118&lt;Paramètres!$B$36,Paramètres!$C$36,IF(S118&lt;Paramètres!$B$37,Paramètres!$C$37,Paramètres!$C$38))))))))),[3]Données!P558),"")</f>
        <v>De 0 à 3 ans</v>
      </c>
    </row>
    <row r="119" spans="1:20" hidden="1" x14ac:dyDescent="0.25">
      <c r="A119" s="47">
        <v>1578</v>
      </c>
      <c r="B119" s="47" t="s">
        <v>258</v>
      </c>
      <c r="C119" s="47" t="s">
        <v>259</v>
      </c>
      <c r="D119" s="47" t="s">
        <v>36</v>
      </c>
      <c r="E119" s="47" t="s">
        <v>55</v>
      </c>
      <c r="F119" s="48">
        <v>45243</v>
      </c>
      <c r="G119" s="49"/>
      <c r="H119" s="48">
        <v>34586</v>
      </c>
      <c r="I119" s="48">
        <f t="shared" si="12"/>
        <v>56501</v>
      </c>
      <c r="J119" s="48"/>
      <c r="K119" s="84">
        <v>1</v>
      </c>
      <c r="L119" s="48"/>
      <c r="M119" s="5">
        <f t="shared" ca="1" si="13"/>
        <v>31.75</v>
      </c>
      <c r="N119" s="42" t="s">
        <v>39</v>
      </c>
      <c r="O119" s="43" t="s">
        <v>2</v>
      </c>
      <c r="P119" s="1" t="s">
        <v>40</v>
      </c>
      <c r="Q119" s="30" t="str">
        <f ca="1">IF(K119=1,IF(Paramètres!$E$9,IF(M119&lt;Paramètres!$B$13,Paramètres!$C$13,IF(M119&lt;Paramètres!$B$14,Paramètres!$C$14,IF(M119&lt;Paramètres!$B$15,Paramètres!$C$15,IF(M119&lt;Paramètres!$B$16,Paramètres!$C$16,IF(M119&lt;Paramètres!$B$17,Paramètres!$C$17,IF(M119&lt;Paramètres!$B$18,Paramètres!$C$18,IF(M119&lt;Paramètres!$B$19,Paramètres!$C$19,IF(M119&lt;Paramètres!$B$20,Paramètres!$C$20,IF(M119&lt;Paramètres!$B$21,Paramètres!$C$21,Paramètres!$C$22))))))))),M119),"")</f>
        <v>De 30 à 34 ans</v>
      </c>
      <c r="R119" s="1">
        <f t="shared" si="14"/>
        <v>1</v>
      </c>
      <c r="S119" s="31">
        <f t="shared" ca="1" si="15"/>
        <v>2.5833333333333335</v>
      </c>
      <c r="T119" s="1" t="str">
        <f ca="1">IF(K119=1,IF(Paramètres!$E$25,IF(S119&lt;Paramètres!$B$29,Paramètres!$C$29,IF(S119&lt;Paramètres!$B$30,Paramètres!$C$30,IF(S119&lt;Paramètres!$B$31,Paramètres!$C$31,IF(S119&lt;Paramètres!$B$32,Paramètres!$C$32,IF(S119&lt;Paramètres!$B$33,Paramètres!$C$33,IF(S119&lt;Paramètres!$B$34,Paramètres!$C$34,IF(S119&lt;Paramètres!$B$35,Paramètres!$C$35,IF(S119&lt;Paramètres!$B$36,Paramètres!$C$36,IF(S119&lt;Paramètres!$B$37,Paramètres!$C$37,Paramètres!$C$38))))))))),[3]Données!P559),"")</f>
        <v>De 0 à 3 ans</v>
      </c>
    </row>
    <row r="120" spans="1:20" hidden="1" x14ac:dyDescent="0.25">
      <c r="A120" s="47">
        <v>1594</v>
      </c>
      <c r="B120" s="47" t="s">
        <v>260</v>
      </c>
      <c r="C120" s="47" t="s">
        <v>261</v>
      </c>
      <c r="D120" s="47" t="s">
        <v>36</v>
      </c>
      <c r="E120" s="47" t="s">
        <v>55</v>
      </c>
      <c r="F120" s="48">
        <v>45293</v>
      </c>
      <c r="G120" s="49"/>
      <c r="H120" s="48">
        <v>36960</v>
      </c>
      <c r="I120" s="48">
        <f t="shared" si="12"/>
        <v>58875</v>
      </c>
      <c r="J120" s="48"/>
      <c r="K120" s="84">
        <v>1</v>
      </c>
      <c r="L120" s="48"/>
      <c r="M120" s="5">
        <f t="shared" ca="1" si="13"/>
        <v>25.25</v>
      </c>
      <c r="N120" s="42" t="s">
        <v>39</v>
      </c>
      <c r="O120" s="43" t="s">
        <v>2</v>
      </c>
      <c r="P120" s="1" t="s">
        <v>40</v>
      </c>
      <c r="Q120" s="30" t="str">
        <f ca="1">IF(K120=1,IF(Paramètres!$E$9,IF(M120&lt;Paramètres!$B$13,Paramètres!$C$13,IF(M120&lt;Paramètres!$B$14,Paramètres!$C$14,IF(M120&lt;Paramètres!$B$15,Paramètres!$C$15,IF(M120&lt;Paramètres!$B$16,Paramètres!$C$16,IF(M120&lt;Paramètres!$B$17,Paramètres!$C$17,IF(M120&lt;Paramètres!$B$18,Paramètres!$C$18,IF(M120&lt;Paramètres!$B$19,Paramètres!$C$19,IF(M120&lt;Paramètres!$B$20,Paramètres!$C$20,IF(M120&lt;Paramètres!$B$21,Paramètres!$C$21,Paramètres!$C$22))))))))),M120),"")</f>
        <v>De 25 à 29 ans</v>
      </c>
      <c r="R120" s="1">
        <f t="shared" si="14"/>
        <v>1</v>
      </c>
      <c r="S120" s="31">
        <f t="shared" ca="1" si="15"/>
        <v>2.5</v>
      </c>
      <c r="T120" s="1" t="str">
        <f ca="1">IF(K120=1,IF(Paramètres!$E$25,IF(S120&lt;Paramètres!$B$29,Paramètres!$C$29,IF(S120&lt;Paramètres!$B$30,Paramètres!$C$30,IF(S120&lt;Paramètres!$B$31,Paramètres!$C$31,IF(S120&lt;Paramètres!$B$32,Paramètres!$C$32,IF(S120&lt;Paramètres!$B$33,Paramètres!$C$33,IF(S120&lt;Paramètres!$B$34,Paramètres!$C$34,IF(S120&lt;Paramètres!$B$35,Paramètres!$C$35,IF(S120&lt;Paramètres!$B$36,Paramètres!$C$36,IF(S120&lt;Paramètres!$B$37,Paramètres!$C$37,Paramètres!$C$38))))))))),[3]Données!P560),"")</f>
        <v>De 0 à 3 ans</v>
      </c>
    </row>
    <row r="121" spans="1:20" hidden="1" x14ac:dyDescent="0.25">
      <c r="A121" s="47">
        <v>1595</v>
      </c>
      <c r="B121" s="47" t="s">
        <v>262</v>
      </c>
      <c r="C121" s="47" t="s">
        <v>42</v>
      </c>
      <c r="D121" s="47" t="s">
        <v>36</v>
      </c>
      <c r="E121" s="47" t="s">
        <v>55</v>
      </c>
      <c r="F121" s="48">
        <v>45293</v>
      </c>
      <c r="G121" s="49"/>
      <c r="H121" s="48">
        <v>36718</v>
      </c>
      <c r="I121" s="48">
        <f t="shared" si="12"/>
        <v>58633</v>
      </c>
      <c r="J121" s="48"/>
      <c r="K121" s="84">
        <v>1</v>
      </c>
      <c r="L121" s="48"/>
      <c r="M121" s="5">
        <f t="shared" ca="1" si="13"/>
        <v>25.916666666666668</v>
      </c>
      <c r="N121" s="42" t="s">
        <v>39</v>
      </c>
      <c r="O121" s="43" t="s">
        <v>2</v>
      </c>
      <c r="P121" s="1" t="s">
        <v>40</v>
      </c>
      <c r="Q121" s="30" t="str">
        <f ca="1">IF(K121=1,IF(Paramètres!$E$9,IF(M121&lt;Paramètres!$B$13,Paramètres!$C$13,IF(M121&lt;Paramètres!$B$14,Paramètres!$C$14,IF(M121&lt;Paramètres!$B$15,Paramètres!$C$15,IF(M121&lt;Paramètres!$B$16,Paramètres!$C$16,IF(M121&lt;Paramètres!$B$17,Paramètres!$C$17,IF(M121&lt;Paramètres!$B$18,Paramètres!$C$18,IF(M121&lt;Paramètres!$B$19,Paramètres!$C$19,IF(M121&lt;Paramètres!$B$20,Paramètres!$C$20,IF(M121&lt;Paramètres!$B$21,Paramètres!$C$21,Paramètres!$C$22))))))))),M121),"")</f>
        <v>De 25 à 29 ans</v>
      </c>
      <c r="R121" s="1">
        <f t="shared" si="14"/>
        <v>1</v>
      </c>
      <c r="S121" s="31">
        <f t="shared" ca="1" si="15"/>
        <v>2.5</v>
      </c>
      <c r="T121" s="1" t="str">
        <f ca="1">IF(K121=1,IF(Paramètres!$E$25,IF(S121&lt;Paramètres!$B$29,Paramètres!$C$29,IF(S121&lt;Paramètres!$B$30,Paramètres!$C$30,IF(S121&lt;Paramètres!$B$31,Paramètres!$C$31,IF(S121&lt;Paramètres!$B$32,Paramètres!$C$32,IF(S121&lt;Paramètres!$B$33,Paramètres!$C$33,IF(S121&lt;Paramètres!$B$34,Paramètres!$C$34,IF(S121&lt;Paramètres!$B$35,Paramètres!$C$35,IF(S121&lt;Paramètres!$B$36,Paramètres!$C$36,IF(S121&lt;Paramètres!$B$37,Paramètres!$C$37,Paramètres!$C$38))))))))),[3]Données!P561),"")</f>
        <v>De 0 à 3 ans</v>
      </c>
    </row>
    <row r="122" spans="1:20" hidden="1" x14ac:dyDescent="0.25">
      <c r="A122" s="47">
        <v>1602</v>
      </c>
      <c r="B122" s="47" t="s">
        <v>263</v>
      </c>
      <c r="C122" s="47" t="s">
        <v>125</v>
      </c>
      <c r="D122" s="47" t="s">
        <v>36</v>
      </c>
      <c r="E122" s="47" t="s">
        <v>162</v>
      </c>
      <c r="F122" s="48">
        <v>45334</v>
      </c>
      <c r="G122" s="49" t="s">
        <v>251</v>
      </c>
      <c r="H122" s="48">
        <v>36021</v>
      </c>
      <c r="I122" s="48">
        <f t="shared" si="12"/>
        <v>57936</v>
      </c>
      <c r="J122" s="48"/>
      <c r="K122" s="84">
        <v>1</v>
      </c>
      <c r="L122" s="48"/>
      <c r="M122" s="5">
        <f t="shared" ca="1" si="13"/>
        <v>27.833333333333332</v>
      </c>
      <c r="N122" s="43" t="s">
        <v>39</v>
      </c>
      <c r="O122" s="43" t="s">
        <v>2</v>
      </c>
      <c r="P122" s="1" t="s">
        <v>40</v>
      </c>
      <c r="Q122" s="30" t="str">
        <f ca="1">IF(K122=1,IF(Paramètres!$E$9,IF(M122&lt;Paramètres!$B$13,Paramètres!$C$13,IF(M122&lt;Paramètres!$B$14,Paramètres!$C$14,IF(M122&lt;Paramètres!$B$15,Paramètres!$C$15,IF(M122&lt;Paramètres!$B$16,Paramètres!$C$16,IF(M122&lt;Paramètres!$B$17,Paramètres!$C$17,IF(M122&lt;Paramètres!$B$18,Paramètres!$C$18,IF(M122&lt;Paramètres!$B$19,Paramètres!$C$19,IF(M122&lt;Paramètres!$B$20,Paramètres!$C$20,IF(M122&lt;Paramètres!$B$21,Paramètres!$C$21,Paramètres!$C$22))))))))),M122),"")</f>
        <v>De 25 à 29 ans</v>
      </c>
      <c r="R122" s="1">
        <f t="shared" si="14"/>
        <v>1</v>
      </c>
      <c r="S122" s="31">
        <f t="shared" ca="1" si="15"/>
        <v>2.3333333333333335</v>
      </c>
      <c r="T122" s="1" t="str">
        <f ca="1">IF(K122=1,IF(Paramètres!$E$25,IF(S122&lt;Paramètres!$B$29,Paramètres!$C$29,IF(S122&lt;Paramètres!$B$30,Paramètres!$C$30,IF(S122&lt;Paramètres!$B$31,Paramètres!$C$31,IF(S122&lt;Paramètres!$B$32,Paramètres!$C$32,IF(S122&lt;Paramètres!$B$33,Paramètres!$C$33,IF(S122&lt;Paramètres!$B$34,Paramètres!$C$34,IF(S122&lt;Paramètres!$B$35,Paramètres!$C$35,IF(S122&lt;Paramètres!$B$36,Paramètres!$C$36,IF(S122&lt;Paramètres!$B$37,Paramètres!$C$37,Paramètres!$C$38))))))))),[3]Données!P562),"")</f>
        <v>De 0 à 3 ans</v>
      </c>
    </row>
    <row r="123" spans="1:20" hidden="1" x14ac:dyDescent="0.25">
      <c r="A123" s="47">
        <v>1627</v>
      </c>
      <c r="B123" s="47" t="s">
        <v>264</v>
      </c>
      <c r="C123" s="47" t="s">
        <v>265</v>
      </c>
      <c r="D123" s="47" t="s">
        <v>36</v>
      </c>
      <c r="E123" s="47" t="s">
        <v>55</v>
      </c>
      <c r="F123" s="48">
        <v>45383</v>
      </c>
      <c r="G123" s="49"/>
      <c r="H123" s="48">
        <v>36041</v>
      </c>
      <c r="I123" s="48">
        <f t="shared" si="12"/>
        <v>57956</v>
      </c>
      <c r="J123" s="48"/>
      <c r="K123" s="84">
        <v>1</v>
      </c>
      <c r="L123" s="48"/>
      <c r="M123" s="5">
        <f t="shared" ca="1" si="13"/>
        <v>27.833333333333332</v>
      </c>
      <c r="N123" s="42" t="s">
        <v>39</v>
      </c>
      <c r="O123" s="43" t="s">
        <v>2</v>
      </c>
      <c r="P123" s="1" t="s">
        <v>40</v>
      </c>
      <c r="Q123" s="30" t="str">
        <f ca="1">IF(K123=1,IF(Paramètres!$E$9,IF(M123&lt;Paramètres!$B$13,Paramètres!$C$13,IF(M123&lt;Paramètres!$B$14,Paramètres!$C$14,IF(M123&lt;Paramètres!$B$15,Paramètres!$C$15,IF(M123&lt;Paramètres!$B$16,Paramètres!$C$16,IF(M123&lt;Paramètres!$B$17,Paramètres!$C$17,IF(M123&lt;Paramètres!$B$18,Paramètres!$C$18,IF(M123&lt;Paramètres!$B$19,Paramètres!$C$19,IF(M123&lt;Paramètres!$B$20,Paramètres!$C$20,IF(M123&lt;Paramètres!$B$21,Paramètres!$C$21,Paramètres!$C$22))))))))),M123),"")</f>
        <v>De 25 à 29 ans</v>
      </c>
      <c r="R123" s="1">
        <f t="shared" si="14"/>
        <v>1</v>
      </c>
      <c r="S123" s="31">
        <f t="shared" ca="1" si="15"/>
        <v>2.25</v>
      </c>
      <c r="T123" s="1" t="str">
        <f ca="1">IF(K123=1,IF(Paramètres!$E$25,IF(S123&lt;Paramètres!$B$29,Paramètres!$C$29,IF(S123&lt;Paramètres!$B$30,Paramètres!$C$30,IF(S123&lt;Paramètres!$B$31,Paramètres!$C$31,IF(S123&lt;Paramètres!$B$32,Paramètres!$C$32,IF(S123&lt;Paramètres!$B$33,Paramètres!$C$33,IF(S123&lt;Paramètres!$B$34,Paramètres!$C$34,IF(S123&lt;Paramètres!$B$35,Paramètres!$C$35,IF(S123&lt;Paramètres!$B$36,Paramètres!$C$36,IF(S123&lt;Paramètres!$B$37,Paramètres!$C$37,Paramètres!$C$38))))))))),[3]Données!P563),"")</f>
        <v>De 0 à 3 ans</v>
      </c>
    </row>
    <row r="124" spans="1:20" hidden="1" x14ac:dyDescent="0.25">
      <c r="A124" s="47">
        <v>1628</v>
      </c>
      <c r="B124" s="47" t="s">
        <v>266</v>
      </c>
      <c r="C124" s="47" t="s">
        <v>267</v>
      </c>
      <c r="D124" s="47" t="s">
        <v>36</v>
      </c>
      <c r="E124" s="47" t="s">
        <v>55</v>
      </c>
      <c r="F124" s="48">
        <v>45383</v>
      </c>
      <c r="G124" s="49"/>
      <c r="H124" s="48">
        <v>37320</v>
      </c>
      <c r="I124" s="48">
        <f t="shared" si="12"/>
        <v>59235</v>
      </c>
      <c r="J124" s="48"/>
      <c r="K124" s="84">
        <v>1</v>
      </c>
      <c r="L124" s="48"/>
      <c r="M124" s="5">
        <f t="shared" ca="1" si="13"/>
        <v>24.333333333333332</v>
      </c>
      <c r="N124" s="42" t="s">
        <v>39</v>
      </c>
      <c r="O124" s="43" t="s">
        <v>2</v>
      </c>
      <c r="P124" s="1" t="s">
        <v>40</v>
      </c>
      <c r="Q124" s="30" t="str">
        <f ca="1">IF(K124=1,IF(Paramètres!$E$9,IF(M124&lt;Paramètres!$B$13,Paramètres!$C$13,IF(M124&lt;Paramètres!$B$14,Paramètres!$C$14,IF(M124&lt;Paramètres!$B$15,Paramètres!$C$15,IF(M124&lt;Paramètres!$B$16,Paramètres!$C$16,IF(M124&lt;Paramètres!$B$17,Paramètres!$C$17,IF(M124&lt;Paramètres!$B$18,Paramètres!$C$18,IF(M124&lt;Paramètres!$B$19,Paramètres!$C$19,IF(M124&lt;Paramètres!$B$20,Paramètres!$C$20,IF(M124&lt;Paramètres!$B$21,Paramètres!$C$21,Paramètres!$C$22))))))))),M124),"")</f>
        <v>De 18 à 24 ans</v>
      </c>
      <c r="R124" s="1">
        <f t="shared" si="14"/>
        <v>1</v>
      </c>
      <c r="S124" s="31">
        <f t="shared" ca="1" si="15"/>
        <v>2.25</v>
      </c>
      <c r="T124" s="1" t="str">
        <f ca="1">IF(K124=1,IF(Paramètres!$E$25,IF(S124&lt;Paramètres!$B$29,Paramètres!$C$29,IF(S124&lt;Paramètres!$B$30,Paramètres!$C$30,IF(S124&lt;Paramètres!$B$31,Paramètres!$C$31,IF(S124&lt;Paramètres!$B$32,Paramètres!$C$32,IF(S124&lt;Paramètres!$B$33,Paramètres!$C$33,IF(S124&lt;Paramètres!$B$34,Paramètres!$C$34,IF(S124&lt;Paramètres!$B$35,Paramètres!$C$35,IF(S124&lt;Paramètres!$B$36,Paramètres!$C$36,IF(S124&lt;Paramètres!$B$37,Paramètres!$C$37,Paramètres!$C$38))))))))),[3]Données!P564),"")</f>
        <v>De 0 à 3 ans</v>
      </c>
    </row>
    <row r="125" spans="1:20" hidden="1" x14ac:dyDescent="0.25">
      <c r="A125" s="47">
        <v>1629</v>
      </c>
      <c r="B125" s="47" t="s">
        <v>268</v>
      </c>
      <c r="C125" s="47" t="s">
        <v>223</v>
      </c>
      <c r="D125" s="47" t="s">
        <v>36</v>
      </c>
      <c r="E125" s="47" t="s">
        <v>55</v>
      </c>
      <c r="F125" s="48">
        <v>45383</v>
      </c>
      <c r="G125" s="49"/>
      <c r="H125" s="48">
        <v>36510</v>
      </c>
      <c r="I125" s="48">
        <f t="shared" si="12"/>
        <v>58425</v>
      </c>
      <c r="J125" s="48"/>
      <c r="K125" s="84">
        <v>1</v>
      </c>
      <c r="L125" s="48"/>
      <c r="M125" s="5">
        <f t="shared" ca="1" si="13"/>
        <v>26.5</v>
      </c>
      <c r="N125" s="42" t="s">
        <v>39</v>
      </c>
      <c r="O125" s="43" t="s">
        <v>2</v>
      </c>
      <c r="P125" s="1" t="s">
        <v>40</v>
      </c>
      <c r="Q125" s="30" t="str">
        <f ca="1">IF(K125=1,IF(Paramètres!$E$9,IF(M125&lt;Paramètres!$B$13,Paramètres!$C$13,IF(M125&lt;Paramètres!$B$14,Paramètres!$C$14,IF(M125&lt;Paramètres!$B$15,Paramètres!$C$15,IF(M125&lt;Paramètres!$B$16,Paramètres!$C$16,IF(M125&lt;Paramètres!$B$17,Paramètres!$C$17,IF(M125&lt;Paramètres!$B$18,Paramètres!$C$18,IF(M125&lt;Paramètres!$B$19,Paramètres!$C$19,IF(M125&lt;Paramètres!$B$20,Paramètres!$C$20,IF(M125&lt;Paramètres!$B$21,Paramètres!$C$21,Paramètres!$C$22))))))))),M125),"")</f>
        <v>De 25 à 29 ans</v>
      </c>
      <c r="R125" s="1">
        <f t="shared" si="14"/>
        <v>1</v>
      </c>
      <c r="S125" s="31">
        <f t="shared" ca="1" si="15"/>
        <v>2.25</v>
      </c>
      <c r="T125" s="1" t="str">
        <f ca="1">IF(K125=1,IF(Paramètres!$E$25,IF(S125&lt;Paramètres!$B$29,Paramètres!$C$29,IF(S125&lt;Paramètres!$B$30,Paramètres!$C$30,IF(S125&lt;Paramètres!$B$31,Paramètres!$C$31,IF(S125&lt;Paramètres!$B$32,Paramètres!$C$32,IF(S125&lt;Paramètres!$B$33,Paramètres!$C$33,IF(S125&lt;Paramètres!$B$34,Paramètres!$C$34,IF(S125&lt;Paramètres!$B$35,Paramètres!$C$35,IF(S125&lt;Paramètres!$B$36,Paramètres!$C$36,IF(S125&lt;Paramètres!$B$37,Paramètres!$C$37,Paramètres!$C$38))))))))),[3]Données!P565),"")</f>
        <v>De 0 à 3 ans</v>
      </c>
    </row>
    <row r="126" spans="1:20" hidden="1" x14ac:dyDescent="0.25">
      <c r="A126" s="47">
        <v>1630</v>
      </c>
      <c r="B126" s="47" t="s">
        <v>269</v>
      </c>
      <c r="C126" s="47" t="s">
        <v>110</v>
      </c>
      <c r="D126" s="47" t="s">
        <v>36</v>
      </c>
      <c r="E126" s="47" t="s">
        <v>55</v>
      </c>
      <c r="F126" s="48">
        <v>45383</v>
      </c>
      <c r="G126" s="49"/>
      <c r="H126" s="48">
        <v>34780</v>
      </c>
      <c r="I126" s="48">
        <f t="shared" si="12"/>
        <v>56695</v>
      </c>
      <c r="J126" s="48"/>
      <c r="K126" s="84">
        <v>1</v>
      </c>
      <c r="L126" s="48"/>
      <c r="M126" s="5">
        <f t="shared" ca="1" si="13"/>
        <v>31.25</v>
      </c>
      <c r="N126" s="42" t="s">
        <v>39</v>
      </c>
      <c r="O126" s="43" t="s">
        <v>2</v>
      </c>
      <c r="P126" s="1" t="s">
        <v>40</v>
      </c>
      <c r="Q126" s="30" t="str">
        <f ca="1">IF(K126=1,IF(Paramètres!$E$9,IF(M126&lt;Paramètres!$B$13,Paramètres!$C$13,IF(M126&lt;Paramètres!$B$14,Paramètres!$C$14,IF(M126&lt;Paramètres!$B$15,Paramètres!$C$15,IF(M126&lt;Paramètres!$B$16,Paramètres!$C$16,IF(M126&lt;Paramètres!$B$17,Paramètres!$C$17,IF(M126&lt;Paramètres!$B$18,Paramètres!$C$18,IF(M126&lt;Paramètres!$B$19,Paramètres!$C$19,IF(M126&lt;Paramètres!$B$20,Paramètres!$C$20,IF(M126&lt;Paramètres!$B$21,Paramètres!$C$21,Paramètres!$C$22))))))))),M126),"")</f>
        <v>De 30 à 34 ans</v>
      </c>
      <c r="R126" s="1">
        <f t="shared" si="14"/>
        <v>1</v>
      </c>
      <c r="S126" s="31">
        <f t="shared" ca="1" si="15"/>
        <v>2.25</v>
      </c>
      <c r="T126" s="1" t="str">
        <f ca="1">IF(K126=1,IF(Paramètres!$E$25,IF(S126&lt;Paramètres!$B$29,Paramètres!$C$29,IF(S126&lt;Paramètres!$B$30,Paramètres!$C$30,IF(S126&lt;Paramètres!$B$31,Paramètres!$C$31,IF(S126&lt;Paramètres!$B$32,Paramètres!$C$32,IF(S126&lt;Paramètres!$B$33,Paramètres!$C$33,IF(S126&lt;Paramètres!$B$34,Paramètres!$C$34,IF(S126&lt;Paramètres!$B$35,Paramètres!$C$35,IF(S126&lt;Paramètres!$B$36,Paramètres!$C$36,IF(S126&lt;Paramètres!$B$37,Paramètres!$C$37,Paramètres!$C$38))))))))),[3]Données!P566),"")</f>
        <v>De 0 à 3 ans</v>
      </c>
    </row>
    <row r="127" spans="1:20" hidden="1" x14ac:dyDescent="0.25">
      <c r="A127" s="47">
        <v>1632</v>
      </c>
      <c r="B127" s="47" t="s">
        <v>270</v>
      </c>
      <c r="C127" s="47" t="s">
        <v>271</v>
      </c>
      <c r="D127" s="47" t="s">
        <v>36</v>
      </c>
      <c r="E127" s="47" t="s">
        <v>55</v>
      </c>
      <c r="F127" s="48">
        <v>45383</v>
      </c>
      <c r="G127" s="49"/>
      <c r="H127" s="48">
        <v>36909</v>
      </c>
      <c r="I127" s="48">
        <f t="shared" si="12"/>
        <v>58824</v>
      </c>
      <c r="J127" s="48"/>
      <c r="K127" s="84">
        <v>1</v>
      </c>
      <c r="L127" s="48"/>
      <c r="M127" s="5">
        <f t="shared" ca="1" si="13"/>
        <v>25.416666666666668</v>
      </c>
      <c r="N127" s="42" t="s">
        <v>39</v>
      </c>
      <c r="O127" s="43" t="s">
        <v>2</v>
      </c>
      <c r="P127" s="1" t="s">
        <v>40</v>
      </c>
      <c r="Q127" s="30" t="str">
        <f ca="1">IF(K127=1,IF(Paramètres!$E$9,IF(M127&lt;Paramètres!$B$13,Paramètres!$C$13,IF(M127&lt;Paramètres!$B$14,Paramètres!$C$14,IF(M127&lt;Paramètres!$B$15,Paramètres!$C$15,IF(M127&lt;Paramètres!$B$16,Paramètres!$C$16,IF(M127&lt;Paramètres!$B$17,Paramètres!$C$17,IF(M127&lt;Paramètres!$B$18,Paramètres!$C$18,IF(M127&lt;Paramètres!$B$19,Paramètres!$C$19,IF(M127&lt;Paramètres!$B$20,Paramètres!$C$20,IF(M127&lt;Paramètres!$B$21,Paramètres!$C$21,Paramètres!$C$22))))))))),M127),"")</f>
        <v>De 25 à 29 ans</v>
      </c>
      <c r="R127" s="1">
        <f t="shared" si="14"/>
        <v>1</v>
      </c>
      <c r="S127" s="31">
        <f t="shared" ca="1" si="15"/>
        <v>2.25</v>
      </c>
      <c r="T127" s="1" t="str">
        <f ca="1">IF(K127=1,IF(Paramètres!$E$25,IF(S127&lt;Paramètres!$B$29,Paramètres!$C$29,IF(S127&lt;Paramètres!$B$30,Paramètres!$C$30,IF(S127&lt;Paramètres!$B$31,Paramètres!$C$31,IF(S127&lt;Paramètres!$B$32,Paramètres!$C$32,IF(S127&lt;Paramètres!$B$33,Paramètres!$C$33,IF(S127&lt;Paramètres!$B$34,Paramètres!$C$34,IF(S127&lt;Paramètres!$B$35,Paramètres!$C$35,IF(S127&lt;Paramètres!$B$36,Paramètres!$C$36,IF(S127&lt;Paramètres!$B$37,Paramètres!$C$37,Paramètres!$C$38))))))))),[3]Données!P567),"")</f>
        <v>De 0 à 3 ans</v>
      </c>
    </row>
    <row r="128" spans="1:20" hidden="1" x14ac:dyDescent="0.25">
      <c r="A128" s="47">
        <v>1633</v>
      </c>
      <c r="B128" s="47" t="s">
        <v>272</v>
      </c>
      <c r="C128" s="47" t="s">
        <v>273</v>
      </c>
      <c r="D128" s="47" t="s">
        <v>36</v>
      </c>
      <c r="E128" s="47" t="s">
        <v>37</v>
      </c>
      <c r="F128" s="48">
        <v>45390</v>
      </c>
      <c r="G128" s="49"/>
      <c r="H128" s="48">
        <v>36565</v>
      </c>
      <c r="I128" s="48">
        <f t="shared" si="12"/>
        <v>58480</v>
      </c>
      <c r="J128" s="48"/>
      <c r="K128" s="84">
        <v>1</v>
      </c>
      <c r="L128" s="48"/>
      <c r="M128" s="5">
        <f t="shared" ca="1" si="13"/>
        <v>26.333333333333332</v>
      </c>
      <c r="N128" s="42" t="s">
        <v>39</v>
      </c>
      <c r="O128" s="43" t="s">
        <v>2</v>
      </c>
      <c r="P128" s="1" t="s">
        <v>40</v>
      </c>
      <c r="Q128" s="30" t="str">
        <f ca="1">IF(K128=1,IF(Paramètres!$E$9,IF(M128&lt;Paramètres!$B$13,Paramètres!$C$13,IF(M128&lt;Paramètres!$B$14,Paramètres!$C$14,IF(M128&lt;Paramètres!$B$15,Paramètres!$C$15,IF(M128&lt;Paramètres!$B$16,Paramètres!$C$16,IF(M128&lt;Paramètres!$B$17,Paramètres!$C$17,IF(M128&lt;Paramètres!$B$18,Paramètres!$C$18,IF(M128&lt;Paramètres!$B$19,Paramètres!$C$19,IF(M128&lt;Paramètres!$B$20,Paramètres!$C$20,IF(M128&lt;Paramètres!$B$21,Paramètres!$C$21,Paramètres!$C$22))))))))),M128),"")</f>
        <v>De 25 à 29 ans</v>
      </c>
      <c r="R128" s="1">
        <f t="shared" si="14"/>
        <v>1</v>
      </c>
      <c r="S128" s="31">
        <f t="shared" ca="1" si="15"/>
        <v>2.1666666666666665</v>
      </c>
      <c r="T128" s="1" t="str">
        <f ca="1">IF(K128=1,IF(Paramètres!$E$25,IF(S128&lt;Paramètres!$B$29,Paramètres!$C$29,IF(S128&lt;Paramètres!$B$30,Paramètres!$C$30,IF(S128&lt;Paramètres!$B$31,Paramètres!$C$31,IF(S128&lt;Paramètres!$B$32,Paramètres!$C$32,IF(S128&lt;Paramètres!$B$33,Paramètres!$C$33,IF(S128&lt;Paramètres!$B$34,Paramètres!$C$34,IF(S128&lt;Paramètres!$B$35,Paramètres!$C$35,IF(S128&lt;Paramètres!$B$36,Paramètres!$C$36,IF(S128&lt;Paramètres!$B$37,Paramètres!$C$37,Paramètres!$C$38))))))))),[3]Données!P568),"")</f>
        <v>De 0 à 3 ans</v>
      </c>
    </row>
    <row r="129" spans="1:20" hidden="1" x14ac:dyDescent="0.25">
      <c r="A129" s="47">
        <v>1637</v>
      </c>
      <c r="B129" s="47" t="s">
        <v>274</v>
      </c>
      <c r="C129" s="47" t="s">
        <v>275</v>
      </c>
      <c r="D129" s="47" t="s">
        <v>36</v>
      </c>
      <c r="E129" s="47" t="s">
        <v>37</v>
      </c>
      <c r="F129" s="48">
        <v>45404</v>
      </c>
      <c r="G129" s="49"/>
      <c r="H129" s="48">
        <v>34410</v>
      </c>
      <c r="I129" s="48">
        <f t="shared" si="12"/>
        <v>56325</v>
      </c>
      <c r="J129" s="48"/>
      <c r="K129" s="84">
        <v>1</v>
      </c>
      <c r="L129" s="48"/>
      <c r="M129" s="5">
        <f t="shared" ca="1" si="13"/>
        <v>32.25</v>
      </c>
      <c r="N129" s="42" t="s">
        <v>221</v>
      </c>
      <c r="O129" s="43" t="s">
        <v>2</v>
      </c>
      <c r="P129" s="1" t="s">
        <v>40</v>
      </c>
      <c r="Q129" s="30" t="str">
        <f ca="1">IF(K129=1,IF(Paramètres!$E$9,IF(M129&lt;Paramètres!$B$13,Paramètres!$C$13,IF(M129&lt;Paramètres!$B$14,Paramètres!$C$14,IF(M129&lt;Paramètres!$B$15,Paramètres!$C$15,IF(M129&lt;Paramètres!$B$16,Paramètres!$C$16,IF(M129&lt;Paramètres!$B$17,Paramètres!$C$17,IF(M129&lt;Paramètres!$B$18,Paramètres!$C$18,IF(M129&lt;Paramètres!$B$19,Paramètres!$C$19,IF(M129&lt;Paramètres!$B$20,Paramètres!$C$20,IF(M129&lt;Paramètres!$B$21,Paramètres!$C$21,Paramètres!$C$22))))))))),M129),"")</f>
        <v>De 30 à 34 ans</v>
      </c>
      <c r="R129" s="1">
        <f t="shared" si="14"/>
        <v>2</v>
      </c>
      <c r="S129" s="31">
        <f t="shared" ca="1" si="15"/>
        <v>2.1666666666666665</v>
      </c>
      <c r="T129" s="1" t="str">
        <f ca="1">IF(K129=1,IF(Paramètres!$E$25,IF(S129&lt;Paramètres!$B$29,Paramètres!$C$29,IF(S129&lt;Paramètres!$B$30,Paramètres!$C$30,IF(S129&lt;Paramètres!$B$31,Paramètres!$C$31,IF(S129&lt;Paramètres!$B$32,Paramètres!$C$32,IF(S129&lt;Paramètres!$B$33,Paramètres!$C$33,IF(S129&lt;Paramètres!$B$34,Paramètres!$C$34,IF(S129&lt;Paramètres!$B$35,Paramètres!$C$35,IF(S129&lt;Paramètres!$B$36,Paramètres!$C$36,IF(S129&lt;Paramètres!$B$37,Paramètres!$C$37,Paramètres!$C$38))))))))),[3]Données!P569),"")</f>
        <v>De 0 à 3 ans</v>
      </c>
    </row>
    <row r="130" spans="1:20" hidden="1" x14ac:dyDescent="0.25">
      <c r="A130" s="47">
        <v>1645</v>
      </c>
      <c r="B130" s="47" t="s">
        <v>276</v>
      </c>
      <c r="C130" s="47" t="s">
        <v>277</v>
      </c>
      <c r="D130" s="47" t="s">
        <v>36</v>
      </c>
      <c r="E130" s="47" t="s">
        <v>55</v>
      </c>
      <c r="F130" s="48">
        <v>45446</v>
      </c>
      <c r="G130" s="49"/>
      <c r="H130" s="48">
        <v>34048</v>
      </c>
      <c r="I130" s="48">
        <f t="shared" ref="I130:I159" si="16">H130+(365.25*60)</f>
        <v>55963</v>
      </c>
      <c r="J130" s="48"/>
      <c r="K130" s="84">
        <v>1</v>
      </c>
      <c r="L130" s="48"/>
      <c r="M130" s="5">
        <f t="shared" ref="M130:M159" ca="1" si="17">K130*(DATEDIF(H130,TODAY(),"m")/12)</f>
        <v>33.25</v>
      </c>
      <c r="N130" s="42" t="s">
        <v>39</v>
      </c>
      <c r="O130" s="43" t="s">
        <v>2</v>
      </c>
      <c r="P130" s="1" t="s">
        <v>40</v>
      </c>
      <c r="Q130" s="30" t="str">
        <f ca="1">IF(K130=1,IF(Paramètres!$E$9,IF(M130&lt;Paramètres!$B$13,Paramètres!$C$13,IF(M130&lt;Paramètres!$B$14,Paramètres!$C$14,IF(M130&lt;Paramètres!$B$15,Paramètres!$C$15,IF(M130&lt;Paramètres!$B$16,Paramètres!$C$16,IF(M130&lt;Paramètres!$B$17,Paramètres!$C$17,IF(M130&lt;Paramètres!$B$18,Paramètres!$C$18,IF(M130&lt;Paramètres!$B$19,Paramètres!$C$19,IF(M130&lt;Paramètres!$B$20,Paramètres!$C$20,IF(M130&lt;Paramètres!$B$21,Paramètres!$C$21,Paramètres!$C$22))))))))),M130),"")</f>
        <v>De 30 à 34 ans</v>
      </c>
      <c r="R130" s="1">
        <f t="shared" ref="R130:R159" si="18">+IF(N130="Mr",1,2)</f>
        <v>1</v>
      </c>
      <c r="S130" s="31">
        <f t="shared" ca="1" si="15"/>
        <v>2.0833333333333335</v>
      </c>
      <c r="T130" s="1" t="str">
        <f ca="1">IF(K130=1,IF(Paramètres!$E$25,IF(S130&lt;Paramètres!$B$29,Paramètres!$C$29,IF(S130&lt;Paramètres!$B$30,Paramètres!$C$30,IF(S130&lt;Paramètres!$B$31,Paramètres!$C$31,IF(S130&lt;Paramètres!$B$32,Paramètres!$C$32,IF(S130&lt;Paramètres!$B$33,Paramètres!$C$33,IF(S130&lt;Paramètres!$B$34,Paramètres!$C$34,IF(S130&lt;Paramètres!$B$35,Paramètres!$C$35,IF(S130&lt;Paramètres!$B$36,Paramètres!$C$36,IF(S130&lt;Paramètres!$B$37,Paramètres!$C$37,Paramètres!$C$38))))))))),[3]Données!P570),"")</f>
        <v>De 0 à 3 ans</v>
      </c>
    </row>
    <row r="131" spans="1:20" hidden="1" x14ac:dyDescent="0.25">
      <c r="A131" s="47">
        <v>1672</v>
      </c>
      <c r="B131" s="47" t="s">
        <v>278</v>
      </c>
      <c r="C131" s="47" t="s">
        <v>279</v>
      </c>
      <c r="D131" s="47" t="s">
        <v>36</v>
      </c>
      <c r="E131" s="47" t="s">
        <v>37</v>
      </c>
      <c r="F131" s="48">
        <v>45659</v>
      </c>
      <c r="G131" s="49"/>
      <c r="H131" s="48">
        <v>35195</v>
      </c>
      <c r="I131" s="48">
        <f t="shared" si="16"/>
        <v>57110</v>
      </c>
      <c r="J131" s="48"/>
      <c r="K131" s="84">
        <v>1</v>
      </c>
      <c r="L131" s="48"/>
      <c r="M131" s="5">
        <f t="shared" ca="1" si="17"/>
        <v>30.083333333333332</v>
      </c>
      <c r="N131" s="42" t="s">
        <v>39</v>
      </c>
      <c r="O131" s="43" t="s">
        <v>2</v>
      </c>
      <c r="P131" s="1" t="s">
        <v>40</v>
      </c>
      <c r="Q131" s="30" t="str">
        <f ca="1">IF(K131=1,IF(Paramètres!$E$9,IF(M131&lt;Paramètres!$B$13,Paramètres!$C$13,IF(M131&lt;Paramètres!$B$14,Paramètres!$C$14,IF(M131&lt;Paramètres!$B$15,Paramètres!$C$15,IF(M131&lt;Paramètres!$B$16,Paramètres!$C$16,IF(M131&lt;Paramètres!$B$17,Paramètres!$C$17,IF(M131&lt;Paramètres!$B$18,Paramètres!$C$18,IF(M131&lt;Paramètres!$B$19,Paramètres!$C$19,IF(M131&lt;Paramètres!$B$20,Paramètres!$C$20,IF(M131&lt;Paramètres!$B$21,Paramètres!$C$21,Paramètres!$C$22))))))))),M131),"")</f>
        <v>De 30 à 34 ans</v>
      </c>
      <c r="R131" s="1">
        <f t="shared" si="18"/>
        <v>1</v>
      </c>
      <c r="S131" s="31">
        <f t="shared" ca="1" si="15"/>
        <v>1.5</v>
      </c>
      <c r="T131" s="1" t="str">
        <f ca="1">IF(K131=1,IF(Paramètres!$E$25,IF(S131&lt;Paramètres!$B$29,Paramètres!$C$29,IF(S131&lt;Paramètres!$B$30,Paramètres!$C$30,IF(S131&lt;Paramètres!$B$31,Paramètres!$C$31,IF(S131&lt;Paramètres!$B$32,Paramètres!$C$32,IF(S131&lt;Paramètres!$B$33,Paramètres!$C$33,IF(S131&lt;Paramètres!$B$34,Paramètres!$C$34,IF(S131&lt;Paramètres!$B$35,Paramètres!$C$35,IF(S131&lt;Paramètres!$B$36,Paramètres!$C$36,IF(S131&lt;Paramètres!$B$37,Paramètres!$C$37,Paramètres!$C$38))))))))),[3]Données!P571),"")</f>
        <v>De 0 à 3 ans</v>
      </c>
    </row>
    <row r="132" spans="1:20" hidden="1" x14ac:dyDescent="0.25">
      <c r="A132" s="47">
        <v>1673</v>
      </c>
      <c r="B132" s="47" t="s">
        <v>280</v>
      </c>
      <c r="C132" s="47" t="s">
        <v>42</v>
      </c>
      <c r="D132" s="47" t="s">
        <v>36</v>
      </c>
      <c r="E132" s="47" t="s">
        <v>37</v>
      </c>
      <c r="F132" s="48">
        <v>45659</v>
      </c>
      <c r="G132" s="49"/>
      <c r="H132" s="48">
        <v>34686</v>
      </c>
      <c r="I132" s="48">
        <f t="shared" si="16"/>
        <v>56601</v>
      </c>
      <c r="J132" s="48"/>
      <c r="K132" s="84">
        <v>1</v>
      </c>
      <c r="L132" s="48"/>
      <c r="M132" s="5">
        <f t="shared" ca="1" si="17"/>
        <v>31.5</v>
      </c>
      <c r="N132" s="42" t="s">
        <v>39</v>
      </c>
      <c r="O132" s="43" t="s">
        <v>2</v>
      </c>
      <c r="P132" s="1" t="s">
        <v>40</v>
      </c>
      <c r="Q132" s="30" t="str">
        <f ca="1">IF(K132=1,IF(Paramètres!$E$9,IF(M132&lt;Paramètres!$B$13,Paramètres!$C$13,IF(M132&lt;Paramètres!$B$14,Paramètres!$C$14,IF(M132&lt;Paramètres!$B$15,Paramètres!$C$15,IF(M132&lt;Paramètres!$B$16,Paramètres!$C$16,IF(M132&lt;Paramètres!$B$17,Paramètres!$C$17,IF(M132&lt;Paramètres!$B$18,Paramètres!$C$18,IF(M132&lt;Paramètres!$B$19,Paramètres!$C$19,IF(M132&lt;Paramètres!$B$20,Paramètres!$C$20,IF(M132&lt;Paramètres!$B$21,Paramètres!$C$21,Paramètres!$C$22))))))))),M132),"")</f>
        <v>De 30 à 34 ans</v>
      </c>
      <c r="R132" s="1">
        <f t="shared" si="18"/>
        <v>1</v>
      </c>
      <c r="S132" s="31">
        <f t="shared" ca="1" si="15"/>
        <v>1.5</v>
      </c>
      <c r="T132" s="1" t="str">
        <f ca="1">IF(K132=1,IF(Paramètres!$E$25,IF(S132&lt;Paramètres!$B$29,Paramètres!$C$29,IF(S132&lt;Paramètres!$B$30,Paramètres!$C$30,IF(S132&lt;Paramètres!$B$31,Paramètres!$C$31,IF(S132&lt;Paramètres!$B$32,Paramètres!$C$32,IF(S132&lt;Paramètres!$B$33,Paramètres!$C$33,IF(S132&lt;Paramètres!$B$34,Paramètres!$C$34,IF(S132&lt;Paramètres!$B$35,Paramètres!$C$35,IF(S132&lt;Paramètres!$B$36,Paramètres!$C$36,IF(S132&lt;Paramètres!$B$37,Paramètres!$C$37,Paramètres!$C$38))))))))),[3]Données!P572),"")</f>
        <v>De 0 à 3 ans</v>
      </c>
    </row>
    <row r="133" spans="1:20" hidden="1" x14ac:dyDescent="0.25">
      <c r="A133" s="47">
        <v>1683</v>
      </c>
      <c r="B133" s="47" t="s">
        <v>93</v>
      </c>
      <c r="C133" s="47" t="s">
        <v>195</v>
      </c>
      <c r="D133" s="47" t="s">
        <v>36</v>
      </c>
      <c r="E133" s="47" t="s">
        <v>37</v>
      </c>
      <c r="F133" s="48">
        <v>45719</v>
      </c>
      <c r="G133" s="49"/>
      <c r="H133" s="48">
        <v>33108</v>
      </c>
      <c r="I133" s="48">
        <f t="shared" si="16"/>
        <v>55023</v>
      </c>
      <c r="J133" s="48"/>
      <c r="K133" s="84">
        <v>1</v>
      </c>
      <c r="L133" s="48"/>
      <c r="M133" s="5">
        <f t="shared" ca="1" si="17"/>
        <v>35.833333333333336</v>
      </c>
      <c r="N133" s="42" t="s">
        <v>39</v>
      </c>
      <c r="O133" s="43" t="s">
        <v>2</v>
      </c>
      <c r="P133" s="1" t="s">
        <v>40</v>
      </c>
      <c r="Q133" s="30" t="str">
        <f ca="1">IF(K133=1,IF(Paramètres!$E$9,IF(M133&lt;Paramètres!$B$13,Paramètres!$C$13,IF(M133&lt;Paramètres!$B$14,Paramètres!$C$14,IF(M133&lt;Paramètres!$B$15,Paramètres!$C$15,IF(M133&lt;Paramètres!$B$16,Paramètres!$C$16,IF(M133&lt;Paramètres!$B$17,Paramètres!$C$17,IF(M133&lt;Paramètres!$B$18,Paramètres!$C$18,IF(M133&lt;Paramètres!$B$19,Paramètres!$C$19,IF(M133&lt;Paramètres!$B$20,Paramètres!$C$20,IF(M133&lt;Paramètres!$B$21,Paramètres!$C$21,Paramètres!$C$22))))))))),M133),"")</f>
        <v>De 35 à 39 ans</v>
      </c>
      <c r="R133" s="1">
        <f t="shared" si="18"/>
        <v>1</v>
      </c>
      <c r="S133" s="31">
        <f t="shared" ca="1" si="15"/>
        <v>1.3333333333333333</v>
      </c>
      <c r="T133" s="1" t="str">
        <f ca="1">IF(K133=1,IF(Paramètres!$E$25,IF(S133&lt;Paramètres!$B$29,Paramètres!$C$29,IF(S133&lt;Paramètres!$B$30,Paramètres!$C$30,IF(S133&lt;Paramètres!$B$31,Paramètres!$C$31,IF(S133&lt;Paramètres!$B$32,Paramètres!$C$32,IF(S133&lt;Paramètres!$B$33,Paramètres!$C$33,IF(S133&lt;Paramètres!$B$34,Paramètres!$C$34,IF(S133&lt;Paramètres!$B$35,Paramètres!$C$35,IF(S133&lt;Paramètres!$B$36,Paramètres!$C$36,IF(S133&lt;Paramètres!$B$37,Paramètres!$C$37,Paramètres!$C$38))))))))),[3]Données!P573),"")</f>
        <v>De 0 à 3 ans</v>
      </c>
    </row>
    <row r="134" spans="1:20" hidden="1" x14ac:dyDescent="0.25">
      <c r="A134" s="47">
        <v>1686</v>
      </c>
      <c r="B134" s="47" t="s">
        <v>281</v>
      </c>
      <c r="C134" s="47" t="s">
        <v>282</v>
      </c>
      <c r="D134" s="47" t="s">
        <v>36</v>
      </c>
      <c r="E134" s="47" t="s">
        <v>55</v>
      </c>
      <c r="F134" s="48">
        <v>45719</v>
      </c>
      <c r="G134" s="49"/>
      <c r="H134" s="48">
        <v>37330</v>
      </c>
      <c r="I134" s="48">
        <f t="shared" si="16"/>
        <v>59245</v>
      </c>
      <c r="J134" s="48"/>
      <c r="K134" s="84">
        <v>1</v>
      </c>
      <c r="L134" s="48"/>
      <c r="M134" s="5">
        <f t="shared" ca="1" si="17"/>
        <v>24.25</v>
      </c>
      <c r="N134" s="42" t="s">
        <v>39</v>
      </c>
      <c r="O134" s="43" t="s">
        <v>2</v>
      </c>
      <c r="P134" s="1" t="s">
        <v>40</v>
      </c>
      <c r="Q134" s="30" t="str">
        <f ca="1">IF(K134=1,IF(Paramètres!$E$9,IF(M134&lt;Paramètres!$B$13,Paramètres!$C$13,IF(M134&lt;Paramètres!$B$14,Paramètres!$C$14,IF(M134&lt;Paramètres!$B$15,Paramètres!$C$15,IF(M134&lt;Paramètres!$B$16,Paramètres!$C$16,IF(M134&lt;Paramètres!$B$17,Paramètres!$C$17,IF(M134&lt;Paramètres!$B$18,Paramètres!$C$18,IF(M134&lt;Paramètres!$B$19,Paramètres!$C$19,IF(M134&lt;Paramètres!$B$20,Paramètres!$C$20,IF(M134&lt;Paramètres!$B$21,Paramètres!$C$21,Paramètres!$C$22))))))))),M134),"")</f>
        <v>De 18 à 24 ans</v>
      </c>
      <c r="R134" s="1">
        <f t="shared" si="18"/>
        <v>1</v>
      </c>
      <c r="S134" s="31">
        <f t="shared" ca="1" si="15"/>
        <v>1.3333333333333333</v>
      </c>
      <c r="T134" s="1" t="str">
        <f ca="1">IF(K134=1,IF(Paramètres!$E$25,IF(S134&lt;Paramètres!$B$29,Paramètres!$C$29,IF(S134&lt;Paramètres!$B$30,Paramètres!$C$30,IF(S134&lt;Paramètres!$B$31,Paramètres!$C$31,IF(S134&lt;Paramètres!$B$32,Paramètres!$C$32,IF(S134&lt;Paramètres!$B$33,Paramètres!$C$33,IF(S134&lt;Paramètres!$B$34,Paramètres!$C$34,IF(S134&lt;Paramètres!$B$35,Paramètres!$C$35,IF(S134&lt;Paramètres!$B$36,Paramètres!$C$36,IF(S134&lt;Paramètres!$B$37,Paramètres!$C$37,Paramètres!$C$38))))))))),[3]Données!P574),"")</f>
        <v>De 0 à 3 ans</v>
      </c>
    </row>
    <row r="135" spans="1:20" hidden="1" x14ac:dyDescent="0.25">
      <c r="A135" s="47">
        <v>1687</v>
      </c>
      <c r="B135" s="47" t="s">
        <v>283</v>
      </c>
      <c r="C135" s="47" t="s">
        <v>284</v>
      </c>
      <c r="D135" s="47" t="s">
        <v>36</v>
      </c>
      <c r="E135" s="47" t="s">
        <v>55</v>
      </c>
      <c r="F135" s="48">
        <v>45719</v>
      </c>
      <c r="G135" s="49"/>
      <c r="H135" s="48">
        <v>35705</v>
      </c>
      <c r="I135" s="48">
        <f t="shared" si="16"/>
        <v>57620</v>
      </c>
      <c r="J135" s="48"/>
      <c r="K135" s="84">
        <v>1</v>
      </c>
      <c r="L135" s="48"/>
      <c r="M135" s="5">
        <f t="shared" ca="1" si="17"/>
        <v>28.75</v>
      </c>
      <c r="N135" s="42" t="s">
        <v>39</v>
      </c>
      <c r="O135" s="43" t="s">
        <v>2</v>
      </c>
      <c r="P135" s="1" t="s">
        <v>40</v>
      </c>
      <c r="Q135" s="30" t="str">
        <f ca="1">IF(K135=1,IF(Paramètres!$E$9,IF(M135&lt;Paramètres!$B$13,Paramètres!$C$13,IF(M135&lt;Paramètres!$B$14,Paramètres!$C$14,IF(M135&lt;Paramètres!$B$15,Paramètres!$C$15,IF(M135&lt;Paramètres!$B$16,Paramètres!$C$16,IF(M135&lt;Paramètres!$B$17,Paramètres!$C$17,IF(M135&lt;Paramètres!$B$18,Paramètres!$C$18,IF(M135&lt;Paramètres!$B$19,Paramètres!$C$19,IF(M135&lt;Paramètres!$B$20,Paramètres!$C$20,IF(M135&lt;Paramètres!$B$21,Paramètres!$C$21,Paramètres!$C$22))))))))),M135),"")</f>
        <v>De 25 à 29 ans</v>
      </c>
      <c r="R135" s="1">
        <f t="shared" si="18"/>
        <v>1</v>
      </c>
      <c r="S135" s="31">
        <f t="shared" ref="S135:S159" ca="1" si="19">K135*(DATEDIF(F135,TODAY(),"m")/12)</f>
        <v>1.3333333333333333</v>
      </c>
      <c r="T135" s="1" t="str">
        <f ca="1">IF(K135=1,IF(Paramètres!$E$25,IF(S135&lt;Paramètres!$B$29,Paramètres!$C$29,IF(S135&lt;Paramètres!$B$30,Paramètres!$C$30,IF(S135&lt;Paramètres!$B$31,Paramètres!$C$31,IF(S135&lt;Paramètres!$B$32,Paramètres!$C$32,IF(S135&lt;Paramètres!$B$33,Paramètres!$C$33,IF(S135&lt;Paramètres!$B$34,Paramètres!$C$34,IF(S135&lt;Paramètres!$B$35,Paramètres!$C$35,IF(S135&lt;Paramètres!$B$36,Paramètres!$C$36,IF(S135&lt;Paramètres!$B$37,Paramètres!$C$37,Paramètres!$C$38))))))))),[3]Données!P575),"")</f>
        <v>De 0 à 3 ans</v>
      </c>
    </row>
    <row r="136" spans="1:20" hidden="1" x14ac:dyDescent="0.25">
      <c r="A136" s="47">
        <v>1695</v>
      </c>
      <c r="B136" s="47" t="s">
        <v>285</v>
      </c>
      <c r="C136" s="47" t="s">
        <v>42</v>
      </c>
      <c r="D136" s="47" t="s">
        <v>36</v>
      </c>
      <c r="E136" s="47" t="s">
        <v>55</v>
      </c>
      <c r="F136" s="48">
        <v>45748</v>
      </c>
      <c r="G136" s="49"/>
      <c r="H136" s="48">
        <v>36854</v>
      </c>
      <c r="I136" s="48">
        <f t="shared" si="16"/>
        <v>58769</v>
      </c>
      <c r="J136" s="48"/>
      <c r="K136" s="84">
        <v>1</v>
      </c>
      <c r="L136" s="48"/>
      <c r="M136" s="5">
        <f t="shared" ca="1" si="17"/>
        <v>25.583333333333332</v>
      </c>
      <c r="N136" s="42" t="s">
        <v>39</v>
      </c>
      <c r="O136" s="43" t="s">
        <v>2</v>
      </c>
      <c r="P136" s="1" t="s">
        <v>40</v>
      </c>
      <c r="Q136" s="30" t="str">
        <f ca="1">IF(K136=1,IF(Paramètres!$E$9,IF(M136&lt;Paramètres!$B$13,Paramètres!$C$13,IF(M136&lt;Paramètres!$B$14,Paramètres!$C$14,IF(M136&lt;Paramètres!$B$15,Paramètres!$C$15,IF(M136&lt;Paramètres!$B$16,Paramètres!$C$16,IF(M136&lt;Paramètres!$B$17,Paramètres!$C$17,IF(M136&lt;Paramètres!$B$18,Paramètres!$C$18,IF(M136&lt;Paramètres!$B$19,Paramètres!$C$19,IF(M136&lt;Paramètres!$B$20,Paramètres!$C$20,IF(M136&lt;Paramètres!$B$21,Paramètres!$C$21,Paramètres!$C$22))))))))),M136),"")</f>
        <v>De 25 à 29 ans</v>
      </c>
      <c r="R136" s="1">
        <f t="shared" si="18"/>
        <v>1</v>
      </c>
      <c r="S136" s="31">
        <f t="shared" ca="1" si="19"/>
        <v>1.25</v>
      </c>
      <c r="T136" s="1" t="str">
        <f ca="1">IF(K136=1,IF(Paramètres!$E$25,IF(S136&lt;Paramètres!$B$29,Paramètres!$C$29,IF(S136&lt;Paramètres!$B$30,Paramètres!$C$30,IF(S136&lt;Paramètres!$B$31,Paramètres!$C$31,IF(S136&lt;Paramètres!$B$32,Paramètres!$C$32,IF(S136&lt;Paramètres!$B$33,Paramètres!$C$33,IF(S136&lt;Paramètres!$B$34,Paramètres!$C$34,IF(S136&lt;Paramètres!$B$35,Paramètres!$C$35,IF(S136&lt;Paramètres!$B$36,Paramètres!$C$36,IF(S136&lt;Paramètres!$B$37,Paramètres!$C$37,Paramètres!$C$38))))))))),[3]Données!P576),"")</f>
        <v>De 0 à 3 ans</v>
      </c>
    </row>
    <row r="137" spans="1:20" hidden="1" x14ac:dyDescent="0.25">
      <c r="A137" s="47">
        <v>1696</v>
      </c>
      <c r="B137" s="47" t="s">
        <v>286</v>
      </c>
      <c r="C137" s="47" t="s">
        <v>287</v>
      </c>
      <c r="D137" s="47" t="s">
        <v>36</v>
      </c>
      <c r="E137" s="47" t="s">
        <v>55</v>
      </c>
      <c r="F137" s="48">
        <v>45748</v>
      </c>
      <c r="G137" s="49"/>
      <c r="H137" s="48">
        <v>34692</v>
      </c>
      <c r="I137" s="48">
        <f t="shared" si="16"/>
        <v>56607</v>
      </c>
      <c r="J137" s="48"/>
      <c r="K137" s="84">
        <v>1</v>
      </c>
      <c r="L137" s="48"/>
      <c r="M137" s="5">
        <f t="shared" ca="1" si="17"/>
        <v>31.5</v>
      </c>
      <c r="N137" s="42" t="s">
        <v>39</v>
      </c>
      <c r="O137" s="43" t="s">
        <v>2</v>
      </c>
      <c r="P137" s="1" t="s">
        <v>40</v>
      </c>
      <c r="Q137" s="30" t="str">
        <f ca="1">IF(K137=1,IF(Paramètres!$E$9,IF(M137&lt;Paramètres!$B$13,Paramètres!$C$13,IF(M137&lt;Paramètres!$B$14,Paramètres!$C$14,IF(M137&lt;Paramètres!$B$15,Paramètres!$C$15,IF(M137&lt;Paramètres!$B$16,Paramètres!$C$16,IF(M137&lt;Paramètres!$B$17,Paramètres!$C$17,IF(M137&lt;Paramètres!$B$18,Paramètres!$C$18,IF(M137&lt;Paramètres!$B$19,Paramètres!$C$19,IF(M137&lt;Paramètres!$B$20,Paramètres!$C$20,IF(M137&lt;Paramètres!$B$21,Paramètres!$C$21,Paramètres!$C$22))))))))),M137),"")</f>
        <v>De 30 à 34 ans</v>
      </c>
      <c r="R137" s="1">
        <f t="shared" si="18"/>
        <v>1</v>
      </c>
      <c r="S137" s="31">
        <f t="shared" ca="1" si="19"/>
        <v>1.25</v>
      </c>
      <c r="T137" s="1" t="str">
        <f ca="1">IF(K137=1,IF(Paramètres!$E$25,IF(S137&lt;Paramètres!$B$29,Paramètres!$C$29,IF(S137&lt;Paramètres!$B$30,Paramètres!$C$30,IF(S137&lt;Paramètres!$B$31,Paramètres!$C$31,IF(S137&lt;Paramètres!$B$32,Paramètres!$C$32,IF(S137&lt;Paramètres!$B$33,Paramètres!$C$33,IF(S137&lt;Paramètres!$B$34,Paramètres!$C$34,IF(S137&lt;Paramètres!$B$35,Paramètres!$C$35,IF(S137&lt;Paramètres!$B$36,Paramètres!$C$36,IF(S137&lt;Paramètres!$B$37,Paramètres!$C$37,Paramètres!$C$38))))))))),[3]Données!P577),"")</f>
        <v>De 0 à 3 ans</v>
      </c>
    </row>
    <row r="138" spans="1:20" hidden="1" x14ac:dyDescent="0.25">
      <c r="A138" s="47">
        <v>1697</v>
      </c>
      <c r="B138" s="47" t="s">
        <v>288</v>
      </c>
      <c r="C138" s="47" t="s">
        <v>273</v>
      </c>
      <c r="D138" s="47" t="s">
        <v>36</v>
      </c>
      <c r="E138" s="47" t="s">
        <v>55</v>
      </c>
      <c r="F138" s="48">
        <v>45748</v>
      </c>
      <c r="G138" s="49"/>
      <c r="H138" s="48">
        <v>35065</v>
      </c>
      <c r="I138" s="48">
        <f t="shared" si="16"/>
        <v>56980</v>
      </c>
      <c r="J138" s="48"/>
      <c r="K138" s="84">
        <v>1</v>
      </c>
      <c r="L138" s="48"/>
      <c r="M138" s="5">
        <f t="shared" ca="1" si="17"/>
        <v>30.5</v>
      </c>
      <c r="N138" s="42" t="s">
        <v>39</v>
      </c>
      <c r="O138" s="43" t="s">
        <v>2</v>
      </c>
      <c r="P138" s="1" t="s">
        <v>40</v>
      </c>
      <c r="Q138" s="30" t="str">
        <f ca="1">IF(K138=1,IF(Paramètres!$E$9,IF(M138&lt;Paramètres!$B$13,Paramètres!$C$13,IF(M138&lt;Paramètres!$B$14,Paramètres!$C$14,IF(M138&lt;Paramètres!$B$15,Paramètres!$C$15,IF(M138&lt;Paramètres!$B$16,Paramètres!$C$16,IF(M138&lt;Paramètres!$B$17,Paramètres!$C$17,IF(M138&lt;Paramètres!$B$18,Paramètres!$C$18,IF(M138&lt;Paramètres!$B$19,Paramètres!$C$19,IF(M138&lt;Paramètres!$B$20,Paramètres!$C$20,IF(M138&lt;Paramètres!$B$21,Paramètres!$C$21,Paramètres!$C$22))))))))),M138),"")</f>
        <v>De 30 à 34 ans</v>
      </c>
      <c r="R138" s="1">
        <f t="shared" si="18"/>
        <v>1</v>
      </c>
      <c r="S138" s="31">
        <f t="shared" ca="1" si="19"/>
        <v>1.25</v>
      </c>
      <c r="T138" s="1" t="str">
        <f ca="1">IF(K138=1,IF(Paramètres!$E$25,IF(S138&lt;Paramètres!$B$29,Paramètres!$C$29,IF(S138&lt;Paramètres!$B$30,Paramètres!$C$30,IF(S138&lt;Paramètres!$B$31,Paramètres!$C$31,IF(S138&lt;Paramètres!$B$32,Paramètres!$C$32,IF(S138&lt;Paramètres!$B$33,Paramètres!$C$33,IF(S138&lt;Paramètres!$B$34,Paramètres!$C$34,IF(S138&lt;Paramètres!$B$35,Paramètres!$C$35,IF(S138&lt;Paramètres!$B$36,Paramètres!$C$36,IF(S138&lt;Paramètres!$B$37,Paramètres!$C$37,Paramètres!$C$38))))))))),[3]Données!P578),"")</f>
        <v>De 0 à 3 ans</v>
      </c>
    </row>
    <row r="139" spans="1:20" hidden="1" x14ac:dyDescent="0.25">
      <c r="A139" s="47">
        <v>1698</v>
      </c>
      <c r="B139" s="47" t="s">
        <v>289</v>
      </c>
      <c r="C139" s="47" t="s">
        <v>290</v>
      </c>
      <c r="D139" s="47" t="s">
        <v>36</v>
      </c>
      <c r="E139" s="47" t="s">
        <v>37</v>
      </c>
      <c r="F139" s="48">
        <v>45761</v>
      </c>
      <c r="G139" s="49"/>
      <c r="H139" s="48">
        <v>34652</v>
      </c>
      <c r="I139" s="48">
        <f t="shared" si="16"/>
        <v>56567</v>
      </c>
      <c r="J139" s="48"/>
      <c r="K139" s="84">
        <v>1</v>
      </c>
      <c r="L139" s="48"/>
      <c r="M139" s="5">
        <f t="shared" ca="1" si="17"/>
        <v>31.583333333333332</v>
      </c>
      <c r="N139" s="42" t="s">
        <v>221</v>
      </c>
      <c r="O139" s="43" t="s">
        <v>2</v>
      </c>
      <c r="P139" s="1" t="s">
        <v>40</v>
      </c>
      <c r="Q139" s="30" t="str">
        <f ca="1">IF(K139=1,IF(Paramètres!$E$9,IF(M139&lt;Paramètres!$B$13,Paramètres!$C$13,IF(M139&lt;Paramètres!$B$14,Paramètres!$C$14,IF(M139&lt;Paramètres!$B$15,Paramètres!$C$15,IF(M139&lt;Paramètres!$B$16,Paramètres!$C$16,IF(M139&lt;Paramètres!$B$17,Paramètres!$C$17,IF(M139&lt;Paramètres!$B$18,Paramètres!$C$18,IF(M139&lt;Paramètres!$B$19,Paramètres!$C$19,IF(M139&lt;Paramètres!$B$20,Paramètres!$C$20,IF(M139&lt;Paramètres!$B$21,Paramètres!$C$21,Paramètres!$C$22))))))))),M139),"")</f>
        <v>De 30 à 34 ans</v>
      </c>
      <c r="R139" s="1">
        <f t="shared" si="18"/>
        <v>2</v>
      </c>
      <c r="S139" s="31">
        <f t="shared" ca="1" si="19"/>
        <v>1.1666666666666667</v>
      </c>
      <c r="T139" s="1" t="str">
        <f ca="1">IF(K139=1,IF(Paramètres!$E$25,IF(S139&lt;Paramètres!$B$29,Paramètres!$C$29,IF(S139&lt;Paramètres!$B$30,Paramètres!$C$30,IF(S139&lt;Paramètres!$B$31,Paramètres!$C$31,IF(S139&lt;Paramètres!$B$32,Paramètres!$C$32,IF(S139&lt;Paramètres!$B$33,Paramètres!$C$33,IF(S139&lt;Paramètres!$B$34,Paramètres!$C$34,IF(S139&lt;Paramètres!$B$35,Paramètres!$C$35,IF(S139&lt;Paramètres!$B$36,Paramètres!$C$36,IF(S139&lt;Paramètres!$B$37,Paramètres!$C$37,Paramètres!$C$38))))))))),[3]Données!P579),"")</f>
        <v>De 0 à 3 ans</v>
      </c>
    </row>
    <row r="140" spans="1:20" hidden="1" x14ac:dyDescent="0.25">
      <c r="A140" s="47">
        <v>1713</v>
      </c>
      <c r="B140" s="47" t="s">
        <v>291</v>
      </c>
      <c r="C140" s="47" t="s">
        <v>133</v>
      </c>
      <c r="D140" s="47" t="s">
        <v>36</v>
      </c>
      <c r="E140" s="47" t="s">
        <v>55</v>
      </c>
      <c r="F140" s="48">
        <v>45782</v>
      </c>
      <c r="G140" s="49"/>
      <c r="H140" s="48">
        <v>30903</v>
      </c>
      <c r="I140" s="48">
        <f t="shared" si="16"/>
        <v>52818</v>
      </c>
      <c r="J140" s="48"/>
      <c r="K140" s="84">
        <v>1</v>
      </c>
      <c r="L140" s="48"/>
      <c r="M140" s="5">
        <f t="shared" ca="1" si="17"/>
        <v>41.833333333333336</v>
      </c>
      <c r="N140" s="42" t="s">
        <v>39</v>
      </c>
      <c r="O140" s="43" t="s">
        <v>2</v>
      </c>
      <c r="P140" s="1" t="s">
        <v>40</v>
      </c>
      <c r="Q140" s="30" t="str">
        <f ca="1">IF(K140=1,IF(Paramètres!$E$9,IF(M140&lt;Paramètres!$B$13,Paramètres!$C$13,IF(M140&lt;Paramètres!$B$14,Paramètres!$C$14,IF(M140&lt;Paramètres!$B$15,Paramètres!$C$15,IF(M140&lt;Paramètres!$B$16,Paramètres!$C$16,IF(M140&lt;Paramètres!$B$17,Paramètres!$C$17,IF(M140&lt;Paramètres!$B$18,Paramètres!$C$18,IF(M140&lt;Paramètres!$B$19,Paramètres!$C$19,IF(M140&lt;Paramètres!$B$20,Paramètres!$C$20,IF(M140&lt;Paramètres!$B$21,Paramètres!$C$21,Paramètres!$C$22))))))))),M140),"")</f>
        <v>De 40 à 44 ans</v>
      </c>
      <c r="R140" s="1">
        <f t="shared" si="18"/>
        <v>1</v>
      </c>
      <c r="S140" s="31">
        <f t="shared" ca="1" si="19"/>
        <v>1.1666666666666667</v>
      </c>
      <c r="T140" s="1" t="str">
        <f ca="1">IF(K140=1,IF(Paramètres!$E$25,IF(S140&lt;Paramètres!$B$29,Paramètres!$C$29,IF(S140&lt;Paramètres!$B$30,Paramètres!$C$30,IF(S140&lt;Paramètres!$B$31,Paramètres!$C$31,IF(S140&lt;Paramètres!$B$32,Paramètres!$C$32,IF(S140&lt;Paramètres!$B$33,Paramètres!$C$33,IF(S140&lt;Paramètres!$B$34,Paramètres!$C$34,IF(S140&lt;Paramètres!$B$35,Paramètres!$C$35,IF(S140&lt;Paramètres!$B$36,Paramètres!$C$36,IF(S140&lt;Paramètres!$B$37,Paramètres!$C$37,Paramètres!$C$38))))))))),[3]Données!P580),"")</f>
        <v>De 0 à 3 ans</v>
      </c>
    </row>
    <row r="141" spans="1:20" hidden="1" x14ac:dyDescent="0.25">
      <c r="A141" s="47">
        <v>1714</v>
      </c>
      <c r="B141" s="47" t="s">
        <v>292</v>
      </c>
      <c r="C141" s="47" t="s">
        <v>293</v>
      </c>
      <c r="D141" s="47" t="s">
        <v>36</v>
      </c>
      <c r="E141" s="47" t="s">
        <v>55</v>
      </c>
      <c r="F141" s="48">
        <v>45779</v>
      </c>
      <c r="G141" s="49"/>
      <c r="H141" s="48">
        <v>38162</v>
      </c>
      <c r="I141" s="48">
        <f t="shared" si="16"/>
        <v>60077</v>
      </c>
      <c r="J141" s="48"/>
      <c r="K141" s="84">
        <v>1</v>
      </c>
      <c r="L141" s="48"/>
      <c r="M141" s="5">
        <f t="shared" ca="1" si="17"/>
        <v>22</v>
      </c>
      <c r="N141" s="42" t="s">
        <v>39</v>
      </c>
      <c r="O141" s="43" t="s">
        <v>2</v>
      </c>
      <c r="P141" s="1" t="s">
        <v>40</v>
      </c>
      <c r="Q141" s="30" t="str">
        <f ca="1">IF(K141=1,IF(Paramètres!$E$9,IF(M141&lt;Paramètres!$B$13,Paramètres!$C$13,IF(M141&lt;Paramètres!$B$14,Paramètres!$C$14,IF(M141&lt;Paramètres!$B$15,Paramètres!$C$15,IF(M141&lt;Paramètres!$B$16,Paramètres!$C$16,IF(M141&lt;Paramètres!$B$17,Paramètres!$C$17,IF(M141&lt;Paramètres!$B$18,Paramètres!$C$18,IF(M141&lt;Paramètres!$B$19,Paramètres!$C$19,IF(M141&lt;Paramètres!$B$20,Paramètres!$C$20,IF(M141&lt;Paramètres!$B$21,Paramètres!$C$21,Paramètres!$C$22))))))))),M141),"")</f>
        <v>De 18 à 24 ans</v>
      </c>
      <c r="R141" s="1">
        <f t="shared" si="18"/>
        <v>1</v>
      </c>
      <c r="S141" s="31">
        <f t="shared" ca="1" si="19"/>
        <v>1.1666666666666667</v>
      </c>
      <c r="T141" s="1" t="str">
        <f ca="1">IF(K141=1,IF(Paramètres!$E$25,IF(S141&lt;Paramètres!$B$29,Paramètres!$C$29,IF(S141&lt;Paramètres!$B$30,Paramètres!$C$30,IF(S141&lt;Paramètres!$B$31,Paramètres!$C$31,IF(S141&lt;Paramètres!$B$32,Paramètres!$C$32,IF(S141&lt;Paramètres!$B$33,Paramètres!$C$33,IF(S141&lt;Paramètres!$B$34,Paramètres!$C$34,IF(S141&lt;Paramètres!$B$35,Paramètres!$C$35,IF(S141&lt;Paramètres!$B$36,Paramètres!$C$36,IF(S141&lt;Paramètres!$B$37,Paramètres!$C$37,Paramètres!$C$38))))))))),[3]Données!P581),"")</f>
        <v>De 0 à 3 ans</v>
      </c>
    </row>
    <row r="142" spans="1:20" hidden="1" x14ac:dyDescent="0.25">
      <c r="A142" s="47">
        <v>1715</v>
      </c>
      <c r="B142" s="47" t="s">
        <v>294</v>
      </c>
      <c r="C142" s="47" t="s">
        <v>295</v>
      </c>
      <c r="D142" s="47" t="s">
        <v>36</v>
      </c>
      <c r="E142" s="47" t="s">
        <v>37</v>
      </c>
      <c r="F142" s="48">
        <v>45782</v>
      </c>
      <c r="G142" s="49"/>
      <c r="H142" s="48">
        <v>30775</v>
      </c>
      <c r="I142" s="48">
        <f t="shared" si="16"/>
        <v>52690</v>
      </c>
      <c r="J142" s="48"/>
      <c r="K142" s="84">
        <v>1</v>
      </c>
      <c r="L142" s="48"/>
      <c r="M142" s="5">
        <f t="shared" ca="1" si="17"/>
        <v>42.25</v>
      </c>
      <c r="N142" s="42" t="s">
        <v>39</v>
      </c>
      <c r="O142" s="43" t="s">
        <v>2</v>
      </c>
      <c r="P142" s="1" t="s">
        <v>40</v>
      </c>
      <c r="Q142" s="30" t="str">
        <f ca="1">IF(K142=1,IF(Paramètres!$E$9,IF(M142&lt;Paramètres!$B$13,Paramètres!$C$13,IF(M142&lt;Paramètres!$B$14,Paramètres!$C$14,IF(M142&lt;Paramètres!$B$15,Paramètres!$C$15,IF(M142&lt;Paramètres!$B$16,Paramètres!$C$16,IF(M142&lt;Paramètres!$B$17,Paramètres!$C$17,IF(M142&lt;Paramètres!$B$18,Paramètres!$C$18,IF(M142&lt;Paramètres!$B$19,Paramètres!$C$19,IF(M142&lt;Paramètres!$B$20,Paramètres!$C$20,IF(M142&lt;Paramètres!$B$21,Paramètres!$C$21,Paramètres!$C$22))))))))),M142),"")</f>
        <v>De 40 à 44 ans</v>
      </c>
      <c r="R142" s="1">
        <f t="shared" si="18"/>
        <v>1</v>
      </c>
      <c r="S142" s="31">
        <f t="shared" ca="1" si="19"/>
        <v>1.1666666666666667</v>
      </c>
      <c r="T142" s="1" t="str">
        <f ca="1">IF(K142=1,IF(Paramètres!$E$25,IF(S142&lt;Paramètres!$B$29,Paramètres!$C$29,IF(S142&lt;Paramètres!$B$30,Paramètres!$C$30,IF(S142&lt;Paramètres!$B$31,Paramètres!$C$31,IF(S142&lt;Paramètres!$B$32,Paramètres!$C$32,IF(S142&lt;Paramètres!$B$33,Paramètres!$C$33,IF(S142&lt;Paramètres!$B$34,Paramètres!$C$34,IF(S142&lt;Paramètres!$B$35,Paramètres!$C$35,IF(S142&lt;Paramètres!$B$36,Paramètres!$C$36,IF(S142&lt;Paramètres!$B$37,Paramètres!$C$37,Paramètres!$C$38))))))))),[3]Données!P582),"")</f>
        <v>De 0 à 3 ans</v>
      </c>
    </row>
    <row r="143" spans="1:20" hidden="1" x14ac:dyDescent="0.25">
      <c r="A143" s="47">
        <v>1716</v>
      </c>
      <c r="B143" s="47" t="s">
        <v>296</v>
      </c>
      <c r="C143" s="47" t="s">
        <v>297</v>
      </c>
      <c r="D143" s="47" t="s">
        <v>36</v>
      </c>
      <c r="E143" s="47" t="s">
        <v>55</v>
      </c>
      <c r="F143" s="48">
        <v>45782</v>
      </c>
      <c r="G143" s="49"/>
      <c r="H143" s="48">
        <v>32899</v>
      </c>
      <c r="I143" s="48">
        <f t="shared" si="16"/>
        <v>54814</v>
      </c>
      <c r="J143" s="48"/>
      <c r="K143" s="84">
        <v>1</v>
      </c>
      <c r="L143" s="48"/>
      <c r="M143" s="5">
        <f t="shared" ca="1" si="17"/>
        <v>36.416666666666664</v>
      </c>
      <c r="N143" s="42" t="s">
        <v>39</v>
      </c>
      <c r="O143" s="43" t="s">
        <v>2</v>
      </c>
      <c r="P143" s="1" t="s">
        <v>40</v>
      </c>
      <c r="Q143" s="30" t="str">
        <f ca="1">IF(K143=1,IF(Paramètres!$E$9,IF(M143&lt;Paramètres!$B$13,Paramètres!$C$13,IF(M143&lt;Paramètres!$B$14,Paramètres!$C$14,IF(M143&lt;Paramètres!$B$15,Paramètres!$C$15,IF(M143&lt;Paramètres!$B$16,Paramètres!$C$16,IF(M143&lt;Paramètres!$B$17,Paramètres!$C$17,IF(M143&lt;Paramètres!$B$18,Paramètres!$C$18,IF(M143&lt;Paramètres!$B$19,Paramètres!$C$19,IF(M143&lt;Paramètres!$B$20,Paramètres!$C$20,IF(M143&lt;Paramètres!$B$21,Paramètres!$C$21,Paramètres!$C$22))))))))),M143),"")</f>
        <v>De 35 à 39 ans</v>
      </c>
      <c r="R143" s="1">
        <f t="shared" si="18"/>
        <v>1</v>
      </c>
      <c r="S143" s="31">
        <f t="shared" ca="1" si="19"/>
        <v>1.1666666666666667</v>
      </c>
      <c r="T143" s="1" t="str">
        <f ca="1">IF(K143=1,IF(Paramètres!$E$25,IF(S143&lt;Paramètres!$B$29,Paramètres!$C$29,IF(S143&lt;Paramètres!$B$30,Paramètres!$C$30,IF(S143&lt;Paramètres!$B$31,Paramètres!$C$31,IF(S143&lt;Paramètres!$B$32,Paramètres!$C$32,IF(S143&lt;Paramètres!$B$33,Paramètres!$C$33,IF(S143&lt;Paramètres!$B$34,Paramètres!$C$34,IF(S143&lt;Paramètres!$B$35,Paramètres!$C$35,IF(S143&lt;Paramètres!$B$36,Paramètres!$C$36,IF(S143&lt;Paramètres!$B$37,Paramètres!$C$37,Paramètres!$C$38))))))))),[3]Données!P583),"")</f>
        <v>De 0 à 3 ans</v>
      </c>
    </row>
    <row r="144" spans="1:20" hidden="1" x14ac:dyDescent="0.25">
      <c r="A144" s="47">
        <v>1717</v>
      </c>
      <c r="B144" s="47" t="s">
        <v>298</v>
      </c>
      <c r="C144" s="47" t="s">
        <v>232</v>
      </c>
      <c r="D144" s="47" t="s">
        <v>36</v>
      </c>
      <c r="E144" s="47" t="s">
        <v>55</v>
      </c>
      <c r="F144" s="48">
        <v>45779</v>
      </c>
      <c r="G144" s="49"/>
      <c r="H144" s="48">
        <v>38452</v>
      </c>
      <c r="I144" s="48">
        <f t="shared" si="16"/>
        <v>60367</v>
      </c>
      <c r="J144" s="48"/>
      <c r="K144" s="84">
        <v>1</v>
      </c>
      <c r="L144" s="48"/>
      <c r="M144" s="5">
        <f t="shared" ca="1" si="17"/>
        <v>21.166666666666668</v>
      </c>
      <c r="N144" s="42" t="s">
        <v>39</v>
      </c>
      <c r="O144" s="43" t="s">
        <v>2</v>
      </c>
      <c r="P144" s="1" t="s">
        <v>40</v>
      </c>
      <c r="Q144" s="30" t="str">
        <f ca="1">IF(K144=1,IF(Paramètres!$E$9,IF(M144&lt;Paramètres!$B$13,Paramètres!$C$13,IF(M144&lt;Paramètres!$B$14,Paramètres!$C$14,IF(M144&lt;Paramètres!$B$15,Paramètres!$C$15,IF(M144&lt;Paramètres!$B$16,Paramètres!$C$16,IF(M144&lt;Paramètres!$B$17,Paramètres!$C$17,IF(M144&lt;Paramètres!$B$18,Paramètres!$C$18,IF(M144&lt;Paramètres!$B$19,Paramètres!$C$19,IF(M144&lt;Paramètres!$B$20,Paramètres!$C$20,IF(M144&lt;Paramètres!$B$21,Paramètres!$C$21,Paramètres!$C$22))))))))),M144),"")</f>
        <v>De 18 à 24 ans</v>
      </c>
      <c r="R144" s="1">
        <f t="shared" si="18"/>
        <v>1</v>
      </c>
      <c r="S144" s="31">
        <f t="shared" ca="1" si="19"/>
        <v>1.1666666666666667</v>
      </c>
      <c r="T144" s="1" t="str">
        <f ca="1">IF(K144=1,IF(Paramètres!$E$25,IF(S144&lt;Paramètres!$B$29,Paramètres!$C$29,IF(S144&lt;Paramètres!$B$30,Paramètres!$C$30,IF(S144&lt;Paramètres!$B$31,Paramètres!$C$31,IF(S144&lt;Paramètres!$B$32,Paramètres!$C$32,IF(S144&lt;Paramètres!$B$33,Paramètres!$C$33,IF(S144&lt;Paramètres!$B$34,Paramètres!$C$34,IF(S144&lt;Paramètres!$B$35,Paramètres!$C$35,IF(S144&lt;Paramètres!$B$36,Paramètres!$C$36,IF(S144&lt;Paramètres!$B$37,Paramètres!$C$37,Paramètres!$C$38))))))))),[3]Données!P584),"")</f>
        <v>De 0 à 3 ans</v>
      </c>
    </row>
    <row r="145" spans="1:20" hidden="1" x14ac:dyDescent="0.25">
      <c r="A145" s="47">
        <v>1718</v>
      </c>
      <c r="B145" s="47" t="s">
        <v>299</v>
      </c>
      <c r="C145" s="47" t="s">
        <v>300</v>
      </c>
      <c r="D145" s="47" t="s">
        <v>36</v>
      </c>
      <c r="E145" s="47" t="s">
        <v>37</v>
      </c>
      <c r="F145" s="48">
        <v>45782</v>
      </c>
      <c r="G145" s="49"/>
      <c r="H145" s="48">
        <v>30694</v>
      </c>
      <c r="I145" s="48">
        <f t="shared" si="16"/>
        <v>52609</v>
      </c>
      <c r="J145" s="48"/>
      <c r="K145" s="84">
        <v>1</v>
      </c>
      <c r="L145" s="48"/>
      <c r="M145" s="5">
        <f t="shared" ca="1" si="17"/>
        <v>42.416666666666664</v>
      </c>
      <c r="N145" s="42" t="s">
        <v>39</v>
      </c>
      <c r="O145" s="43" t="s">
        <v>2</v>
      </c>
      <c r="P145" s="1" t="s">
        <v>40</v>
      </c>
      <c r="Q145" s="30" t="str">
        <f ca="1">IF(K145=1,IF(Paramètres!$E$9,IF(M145&lt;Paramètres!$B$13,Paramètres!$C$13,IF(M145&lt;Paramètres!$B$14,Paramètres!$C$14,IF(M145&lt;Paramètres!$B$15,Paramètres!$C$15,IF(M145&lt;Paramètres!$B$16,Paramètres!$C$16,IF(M145&lt;Paramètres!$B$17,Paramètres!$C$17,IF(M145&lt;Paramètres!$B$18,Paramètres!$C$18,IF(M145&lt;Paramètres!$B$19,Paramètres!$C$19,IF(M145&lt;Paramètres!$B$20,Paramètres!$C$20,IF(M145&lt;Paramètres!$B$21,Paramètres!$C$21,Paramètres!$C$22))))))))),M145),"")</f>
        <v>De 40 à 44 ans</v>
      </c>
      <c r="R145" s="1">
        <f t="shared" si="18"/>
        <v>1</v>
      </c>
      <c r="S145" s="31">
        <f t="shared" ca="1" si="19"/>
        <v>1.1666666666666667</v>
      </c>
      <c r="T145" s="1" t="str">
        <f ca="1">IF(K145=1,IF(Paramètres!$E$25,IF(S145&lt;Paramètres!$B$29,Paramètres!$C$29,IF(S145&lt;Paramètres!$B$30,Paramètres!$C$30,IF(S145&lt;Paramètres!$B$31,Paramètres!$C$31,IF(S145&lt;Paramètres!$B$32,Paramètres!$C$32,IF(S145&lt;Paramètres!$B$33,Paramètres!$C$33,IF(S145&lt;Paramètres!$B$34,Paramètres!$C$34,IF(S145&lt;Paramètres!$B$35,Paramètres!$C$35,IF(S145&lt;Paramètres!$B$36,Paramètres!$C$36,IF(S145&lt;Paramètres!$B$37,Paramètres!$C$37,Paramètres!$C$38))))))))),[3]Données!P585),"")</f>
        <v>De 0 à 3 ans</v>
      </c>
    </row>
    <row r="146" spans="1:20" hidden="1" x14ac:dyDescent="0.25">
      <c r="A146" s="47">
        <v>1719</v>
      </c>
      <c r="B146" s="47" t="s">
        <v>301</v>
      </c>
      <c r="C146" s="47" t="s">
        <v>159</v>
      </c>
      <c r="D146" s="47" t="s">
        <v>36</v>
      </c>
      <c r="E146" s="47" t="s">
        <v>55</v>
      </c>
      <c r="F146" s="48">
        <v>45782</v>
      </c>
      <c r="G146" s="49"/>
      <c r="H146" s="48">
        <v>33764</v>
      </c>
      <c r="I146" s="48">
        <f t="shared" si="16"/>
        <v>55679</v>
      </c>
      <c r="J146" s="48"/>
      <c r="K146" s="84">
        <v>1</v>
      </c>
      <c r="L146" s="48"/>
      <c r="M146" s="5">
        <f t="shared" ca="1" si="17"/>
        <v>34</v>
      </c>
      <c r="N146" s="42" t="s">
        <v>39</v>
      </c>
      <c r="O146" s="43" t="s">
        <v>2</v>
      </c>
      <c r="P146" s="1" t="s">
        <v>40</v>
      </c>
      <c r="Q146" s="30" t="str">
        <f ca="1">IF(K146=1,IF(Paramètres!$E$9,IF(M146&lt;Paramètres!$B$13,Paramètres!$C$13,IF(M146&lt;Paramètres!$B$14,Paramètres!$C$14,IF(M146&lt;Paramètres!$B$15,Paramètres!$C$15,IF(M146&lt;Paramètres!$B$16,Paramètres!$C$16,IF(M146&lt;Paramètres!$B$17,Paramètres!$C$17,IF(M146&lt;Paramètres!$B$18,Paramètres!$C$18,IF(M146&lt;Paramètres!$B$19,Paramètres!$C$19,IF(M146&lt;Paramètres!$B$20,Paramètres!$C$20,IF(M146&lt;Paramètres!$B$21,Paramètres!$C$21,Paramètres!$C$22))))))))),M146),"")</f>
        <v>De 30 à 34 ans</v>
      </c>
      <c r="R146" s="1">
        <f t="shared" si="18"/>
        <v>1</v>
      </c>
      <c r="S146" s="31">
        <f t="shared" ca="1" si="19"/>
        <v>1.1666666666666667</v>
      </c>
      <c r="T146" s="1" t="str">
        <f ca="1">IF(K146=1,IF(Paramètres!$E$25,IF(S146&lt;Paramètres!$B$29,Paramètres!$C$29,IF(S146&lt;Paramètres!$B$30,Paramètres!$C$30,IF(S146&lt;Paramètres!$B$31,Paramètres!$C$31,IF(S146&lt;Paramètres!$B$32,Paramètres!$C$32,IF(S146&lt;Paramètres!$B$33,Paramètres!$C$33,IF(S146&lt;Paramètres!$B$34,Paramètres!$C$34,IF(S146&lt;Paramètres!$B$35,Paramètres!$C$35,IF(S146&lt;Paramètres!$B$36,Paramètres!$C$36,IF(S146&lt;Paramètres!$B$37,Paramètres!$C$37,Paramètres!$C$38))))))))),[3]Données!P586),"")</f>
        <v>De 0 à 3 ans</v>
      </c>
    </row>
    <row r="147" spans="1:20" hidden="1" x14ac:dyDescent="0.25">
      <c r="A147" s="47">
        <v>1720</v>
      </c>
      <c r="B147" s="47" t="s">
        <v>302</v>
      </c>
      <c r="C147" s="47" t="s">
        <v>303</v>
      </c>
      <c r="D147" s="47" t="s">
        <v>36</v>
      </c>
      <c r="E147" s="47" t="s">
        <v>37</v>
      </c>
      <c r="F147" s="48">
        <v>45784</v>
      </c>
      <c r="G147" s="49"/>
      <c r="H147" s="48">
        <v>34593</v>
      </c>
      <c r="I147" s="48">
        <f t="shared" si="16"/>
        <v>56508</v>
      </c>
      <c r="J147" s="48"/>
      <c r="K147" s="84">
        <v>1</v>
      </c>
      <c r="L147" s="48"/>
      <c r="M147" s="5">
        <f t="shared" ca="1" si="17"/>
        <v>31.75</v>
      </c>
      <c r="N147" s="42" t="s">
        <v>39</v>
      </c>
      <c r="O147" s="43" t="s">
        <v>2</v>
      </c>
      <c r="P147" s="1" t="s">
        <v>40</v>
      </c>
      <c r="Q147" s="30" t="str">
        <f ca="1">IF(K147=1,IF(Paramètres!$E$9,IF(M147&lt;Paramètres!$B$13,Paramètres!$C$13,IF(M147&lt;Paramètres!$B$14,Paramètres!$C$14,IF(M147&lt;Paramètres!$B$15,Paramètres!$C$15,IF(M147&lt;Paramètres!$B$16,Paramètres!$C$16,IF(M147&lt;Paramètres!$B$17,Paramètres!$C$17,IF(M147&lt;Paramètres!$B$18,Paramètres!$C$18,IF(M147&lt;Paramètres!$B$19,Paramètres!$C$19,IF(M147&lt;Paramètres!$B$20,Paramètres!$C$20,IF(M147&lt;Paramètres!$B$21,Paramètres!$C$21,Paramètres!$C$22))))))))),M147),"")</f>
        <v>De 30 à 34 ans</v>
      </c>
      <c r="R147" s="1">
        <f t="shared" si="18"/>
        <v>1</v>
      </c>
      <c r="S147" s="31">
        <f t="shared" ca="1" si="19"/>
        <v>1.1666666666666667</v>
      </c>
      <c r="T147" s="1" t="str">
        <f ca="1">IF(K147=1,IF(Paramètres!$E$25,IF(S147&lt;Paramètres!$B$29,Paramètres!$C$29,IF(S147&lt;Paramètres!$B$30,Paramètres!$C$30,IF(S147&lt;Paramètres!$B$31,Paramètres!$C$31,IF(S147&lt;Paramètres!$B$32,Paramètres!$C$32,IF(S147&lt;Paramètres!$B$33,Paramètres!$C$33,IF(S147&lt;Paramètres!$B$34,Paramètres!$C$34,IF(S147&lt;Paramètres!$B$35,Paramètres!$C$35,IF(S147&lt;Paramètres!$B$36,Paramètres!$C$36,IF(S147&lt;Paramètres!$B$37,Paramètres!$C$37,Paramètres!$C$38))))))))),[3]Données!P587),"")</f>
        <v>De 0 à 3 ans</v>
      </c>
    </row>
    <row r="148" spans="1:20" hidden="1" x14ac:dyDescent="0.25">
      <c r="A148" s="47">
        <v>1738</v>
      </c>
      <c r="B148" s="47" t="s">
        <v>304</v>
      </c>
      <c r="C148" s="47" t="s">
        <v>232</v>
      </c>
      <c r="D148" s="47" t="s">
        <v>36</v>
      </c>
      <c r="E148" s="47" t="s">
        <v>55</v>
      </c>
      <c r="F148" s="48">
        <v>45810</v>
      </c>
      <c r="G148" s="49"/>
      <c r="H148" s="48">
        <v>30868</v>
      </c>
      <c r="I148" s="48">
        <f t="shared" si="16"/>
        <v>52783</v>
      </c>
      <c r="J148" s="48"/>
      <c r="K148" s="84">
        <v>1</v>
      </c>
      <c r="L148" s="48"/>
      <c r="M148" s="5">
        <f t="shared" ca="1" si="17"/>
        <v>42</v>
      </c>
      <c r="N148" s="42" t="s">
        <v>39</v>
      </c>
      <c r="O148" s="43" t="s">
        <v>2</v>
      </c>
      <c r="P148" s="1" t="s">
        <v>40</v>
      </c>
      <c r="Q148" s="30" t="str">
        <f ca="1">IF(K148=1,IF(Paramètres!$E$9,IF(M148&lt;Paramètres!$B$13,Paramètres!$C$13,IF(M148&lt;Paramètres!$B$14,Paramètres!$C$14,IF(M148&lt;Paramètres!$B$15,Paramètres!$C$15,IF(M148&lt;Paramètres!$B$16,Paramètres!$C$16,IF(M148&lt;Paramètres!$B$17,Paramètres!$C$17,IF(M148&lt;Paramètres!$B$18,Paramètres!$C$18,IF(M148&lt;Paramètres!$B$19,Paramètres!$C$19,IF(M148&lt;Paramètres!$B$20,Paramètres!$C$20,IF(M148&lt;Paramètres!$B$21,Paramètres!$C$21,Paramètres!$C$22))))))))),M148),"")</f>
        <v>De 40 à 44 ans</v>
      </c>
      <c r="R148" s="1">
        <f t="shared" si="18"/>
        <v>1</v>
      </c>
      <c r="S148" s="31">
        <f t="shared" ca="1" si="19"/>
        <v>1.0833333333333333</v>
      </c>
      <c r="T148" s="1" t="str">
        <f ca="1">IF(K148=1,IF(Paramètres!$E$25,IF(S148&lt;Paramètres!$B$29,Paramètres!$C$29,IF(S148&lt;Paramètres!$B$30,Paramètres!$C$30,IF(S148&lt;Paramètres!$B$31,Paramètres!$C$31,IF(S148&lt;Paramètres!$B$32,Paramètres!$C$32,IF(S148&lt;Paramètres!$B$33,Paramètres!$C$33,IF(S148&lt;Paramètres!$B$34,Paramètres!$C$34,IF(S148&lt;Paramètres!$B$35,Paramètres!$C$35,IF(S148&lt;Paramètres!$B$36,Paramètres!$C$36,IF(S148&lt;Paramètres!$B$37,Paramètres!$C$37,Paramètres!$C$38))))))))),[3]Données!P588),"")</f>
        <v>De 0 à 3 ans</v>
      </c>
    </row>
    <row r="149" spans="1:20" hidden="1" x14ac:dyDescent="0.25">
      <c r="A149" s="47">
        <v>1739</v>
      </c>
      <c r="B149" s="47" t="s">
        <v>305</v>
      </c>
      <c r="C149" s="47" t="s">
        <v>306</v>
      </c>
      <c r="D149" s="47" t="s">
        <v>36</v>
      </c>
      <c r="E149" s="47" t="s">
        <v>55</v>
      </c>
      <c r="F149" s="48">
        <v>45803</v>
      </c>
      <c r="G149" s="49"/>
      <c r="H149" s="48">
        <v>34135</v>
      </c>
      <c r="I149" s="48">
        <f t="shared" si="16"/>
        <v>56050</v>
      </c>
      <c r="J149" s="48"/>
      <c r="K149" s="84">
        <v>1</v>
      </c>
      <c r="L149" s="48"/>
      <c r="M149" s="5">
        <f t="shared" ca="1" si="17"/>
        <v>33</v>
      </c>
      <c r="N149" s="42" t="s">
        <v>39</v>
      </c>
      <c r="O149" s="43" t="s">
        <v>2</v>
      </c>
      <c r="P149" s="1" t="s">
        <v>40</v>
      </c>
      <c r="Q149" s="30" t="str">
        <f ca="1">IF(K149=1,IF(Paramètres!$E$9,IF(M149&lt;Paramètres!$B$13,Paramètres!$C$13,IF(M149&lt;Paramètres!$B$14,Paramètres!$C$14,IF(M149&lt;Paramètres!$B$15,Paramètres!$C$15,IF(M149&lt;Paramètres!$B$16,Paramètres!$C$16,IF(M149&lt;Paramètres!$B$17,Paramètres!$C$17,IF(M149&lt;Paramètres!$B$18,Paramètres!$C$18,IF(M149&lt;Paramètres!$B$19,Paramètres!$C$19,IF(M149&lt;Paramètres!$B$20,Paramètres!$C$20,IF(M149&lt;Paramètres!$B$21,Paramètres!$C$21,Paramètres!$C$22))))))))),M149),"")</f>
        <v>De 30 à 34 ans</v>
      </c>
      <c r="R149" s="1">
        <f t="shared" si="18"/>
        <v>1</v>
      </c>
      <c r="S149" s="31">
        <f t="shared" ca="1" si="19"/>
        <v>1.0833333333333333</v>
      </c>
      <c r="T149" s="1" t="str">
        <f ca="1">IF(K149=1,IF(Paramètres!$E$25,IF(S149&lt;Paramètres!$B$29,Paramètres!$C$29,IF(S149&lt;Paramètres!$B$30,Paramètres!$C$30,IF(S149&lt;Paramètres!$B$31,Paramètres!$C$31,IF(S149&lt;Paramètres!$B$32,Paramètres!$C$32,IF(S149&lt;Paramètres!$B$33,Paramètres!$C$33,IF(S149&lt;Paramètres!$B$34,Paramètres!$C$34,IF(S149&lt;Paramètres!$B$35,Paramètres!$C$35,IF(S149&lt;Paramètres!$B$36,Paramètres!$C$36,IF(S149&lt;Paramètres!$B$37,Paramètres!$C$37,Paramètres!$C$38))))))))),[3]Données!P589),"")</f>
        <v>De 0 à 3 ans</v>
      </c>
    </row>
    <row r="150" spans="1:20" hidden="1" x14ac:dyDescent="0.25">
      <c r="A150" s="47">
        <v>1752</v>
      </c>
      <c r="B150" s="47" t="s">
        <v>307</v>
      </c>
      <c r="C150" s="47" t="s">
        <v>308</v>
      </c>
      <c r="D150" s="47" t="s">
        <v>36</v>
      </c>
      <c r="E150" s="47" t="s">
        <v>55</v>
      </c>
      <c r="F150" s="48">
        <v>45839</v>
      </c>
      <c r="G150" s="49"/>
      <c r="H150" s="48">
        <v>35753</v>
      </c>
      <c r="I150" s="48">
        <f t="shared" si="16"/>
        <v>57668</v>
      </c>
      <c r="J150" s="48"/>
      <c r="K150" s="84">
        <v>1</v>
      </c>
      <c r="L150" s="48"/>
      <c r="M150" s="5">
        <f t="shared" ca="1" si="17"/>
        <v>28.583333333333332</v>
      </c>
      <c r="N150" s="42" t="s">
        <v>39</v>
      </c>
      <c r="O150" s="43" t="s">
        <v>3</v>
      </c>
      <c r="P150" s="1" t="s">
        <v>40</v>
      </c>
      <c r="Q150" s="30" t="str">
        <f ca="1">IF(K150=1,IF(Paramètres!$E$9,IF(M150&lt;Paramètres!$B$13,Paramètres!$C$13,IF(M150&lt;Paramètres!$B$14,Paramètres!$C$14,IF(M150&lt;Paramètres!$B$15,Paramètres!$C$15,IF(M150&lt;Paramètres!$B$16,Paramètres!$C$16,IF(M150&lt;Paramètres!$B$17,Paramètres!$C$17,IF(M150&lt;Paramètres!$B$18,Paramètres!$C$18,IF(M150&lt;Paramètres!$B$19,Paramètres!$C$19,IF(M150&lt;Paramètres!$B$20,Paramètres!$C$20,IF(M150&lt;Paramètres!$B$21,Paramètres!$C$21,Paramètres!$C$22))))))))),M150),"")</f>
        <v>De 25 à 29 ans</v>
      </c>
      <c r="R150" s="1">
        <f t="shared" si="18"/>
        <v>1</v>
      </c>
      <c r="S150" s="31">
        <f t="shared" ca="1" si="19"/>
        <v>1</v>
      </c>
      <c r="T150" s="1" t="str">
        <f ca="1">IF(K150=1,IF(Paramètres!$E$25,IF(S150&lt;Paramètres!$B$29,Paramètres!$C$29,IF(S150&lt;Paramètres!$B$30,Paramètres!$C$30,IF(S150&lt;Paramètres!$B$31,Paramètres!$C$31,IF(S150&lt;Paramètres!$B$32,Paramètres!$C$32,IF(S150&lt;Paramètres!$B$33,Paramètres!$C$33,IF(S150&lt;Paramètres!$B$34,Paramètres!$C$34,IF(S150&lt;Paramètres!$B$35,Paramètres!$C$35,IF(S150&lt;Paramètres!$B$36,Paramètres!$C$36,IF(S150&lt;Paramètres!$B$37,Paramètres!$C$37,Paramètres!$C$38))))))))),[3]Données!P590),"")</f>
        <v>De 0 à 3 ans</v>
      </c>
    </row>
    <row r="151" spans="1:20" hidden="1" x14ac:dyDescent="0.25">
      <c r="A151" s="47">
        <v>1753</v>
      </c>
      <c r="B151" s="47" t="s">
        <v>309</v>
      </c>
      <c r="C151" s="47" t="s">
        <v>310</v>
      </c>
      <c r="D151" s="47" t="s">
        <v>36</v>
      </c>
      <c r="E151" s="47" t="s">
        <v>55</v>
      </c>
      <c r="F151" s="48">
        <v>45845</v>
      </c>
      <c r="G151" s="49"/>
      <c r="H151" s="48">
        <v>35570</v>
      </c>
      <c r="I151" s="48">
        <f t="shared" si="16"/>
        <v>57485</v>
      </c>
      <c r="J151" s="48"/>
      <c r="K151" s="84">
        <v>1</v>
      </c>
      <c r="L151" s="48"/>
      <c r="M151" s="5">
        <f t="shared" ca="1" si="17"/>
        <v>29.083333333333332</v>
      </c>
      <c r="N151" s="42" t="s">
        <v>39</v>
      </c>
      <c r="O151" s="43" t="s">
        <v>3</v>
      </c>
      <c r="P151" s="1" t="s">
        <v>40</v>
      </c>
      <c r="Q151" s="30" t="str">
        <f ca="1">IF(K151=1,IF(Paramètres!$E$9,IF(M151&lt;Paramètres!$B$13,Paramètres!$C$13,IF(M151&lt;Paramètres!$B$14,Paramètres!$C$14,IF(M151&lt;Paramètres!$B$15,Paramètres!$C$15,IF(M151&lt;Paramètres!$B$16,Paramètres!$C$16,IF(M151&lt;Paramètres!$B$17,Paramètres!$C$17,IF(M151&lt;Paramètres!$B$18,Paramètres!$C$18,IF(M151&lt;Paramètres!$B$19,Paramètres!$C$19,IF(M151&lt;Paramètres!$B$20,Paramètres!$C$20,IF(M151&lt;Paramètres!$B$21,Paramètres!$C$21,Paramètres!$C$22))))))))),M151),"")</f>
        <v>De 25 à 29 ans</v>
      </c>
      <c r="R151" s="1">
        <f t="shared" si="18"/>
        <v>1</v>
      </c>
      <c r="S151" s="31">
        <f t="shared" ca="1" si="19"/>
        <v>1</v>
      </c>
      <c r="T151" s="1" t="str">
        <f ca="1">IF(K151=1,IF(Paramètres!$E$25,IF(S151&lt;Paramètres!$B$29,Paramètres!$C$29,IF(S151&lt;Paramètres!$B$30,Paramètres!$C$30,IF(S151&lt;Paramètres!$B$31,Paramètres!$C$31,IF(S151&lt;Paramètres!$B$32,Paramètres!$C$32,IF(S151&lt;Paramètres!$B$33,Paramètres!$C$33,IF(S151&lt;Paramètres!$B$34,Paramètres!$C$34,IF(S151&lt;Paramètres!$B$35,Paramètres!$C$35,IF(S151&lt;Paramètres!$B$36,Paramètres!$C$36,IF(S151&lt;Paramètres!$B$37,Paramètres!$C$37,Paramètres!$C$38))))))))),[3]Données!P591),"")</f>
        <v>De 0 à 3 ans</v>
      </c>
    </row>
    <row r="152" spans="1:20" hidden="1" x14ac:dyDescent="0.25">
      <c r="A152" s="47">
        <v>1754</v>
      </c>
      <c r="B152" s="47" t="s">
        <v>311</v>
      </c>
      <c r="C152" s="47" t="s">
        <v>312</v>
      </c>
      <c r="D152" s="47" t="s">
        <v>36</v>
      </c>
      <c r="E152" s="47" t="s">
        <v>55</v>
      </c>
      <c r="F152" s="48">
        <v>45839</v>
      </c>
      <c r="G152" s="49"/>
      <c r="H152" s="48">
        <v>37123</v>
      </c>
      <c r="I152" s="48">
        <f t="shared" si="16"/>
        <v>59038</v>
      </c>
      <c r="J152" s="48"/>
      <c r="K152" s="84">
        <v>1</v>
      </c>
      <c r="L152" s="48"/>
      <c r="M152" s="5">
        <f t="shared" ca="1" si="17"/>
        <v>24.833333333333332</v>
      </c>
      <c r="N152" s="42" t="s">
        <v>39</v>
      </c>
      <c r="O152" s="43" t="s">
        <v>3</v>
      </c>
      <c r="P152" s="1" t="s">
        <v>40</v>
      </c>
      <c r="Q152" s="30" t="str">
        <f ca="1">IF(K152=1,IF(Paramètres!$E$9,IF(M152&lt;Paramètres!$B$13,Paramètres!$C$13,IF(M152&lt;Paramètres!$B$14,Paramètres!$C$14,IF(M152&lt;Paramètres!$B$15,Paramètres!$C$15,IF(M152&lt;Paramètres!$B$16,Paramètres!$C$16,IF(M152&lt;Paramètres!$B$17,Paramètres!$C$17,IF(M152&lt;Paramètres!$B$18,Paramètres!$C$18,IF(M152&lt;Paramètres!$B$19,Paramètres!$C$19,IF(M152&lt;Paramètres!$B$20,Paramètres!$C$20,IF(M152&lt;Paramètres!$B$21,Paramètres!$C$21,Paramètres!$C$22))))))))),M152),"")</f>
        <v>De 18 à 24 ans</v>
      </c>
      <c r="R152" s="1">
        <f t="shared" si="18"/>
        <v>1</v>
      </c>
      <c r="S152" s="31">
        <f t="shared" ca="1" si="19"/>
        <v>1</v>
      </c>
      <c r="T152" s="1" t="str">
        <f ca="1">IF(K152=1,IF(Paramètres!$E$25,IF(S152&lt;Paramètres!$B$29,Paramètres!$C$29,IF(S152&lt;Paramètres!$B$30,Paramètres!$C$30,IF(S152&lt;Paramètres!$B$31,Paramètres!$C$31,IF(S152&lt;Paramètres!$B$32,Paramètres!$C$32,IF(S152&lt;Paramètres!$B$33,Paramètres!$C$33,IF(S152&lt;Paramètres!$B$34,Paramètres!$C$34,IF(S152&lt;Paramètres!$B$35,Paramètres!$C$35,IF(S152&lt;Paramètres!$B$36,Paramètres!$C$36,IF(S152&lt;Paramètres!$B$37,Paramètres!$C$37,Paramètres!$C$38))))))))),[3]Données!P592),"")</f>
        <v>De 0 à 3 ans</v>
      </c>
    </row>
    <row r="153" spans="1:20" hidden="1" x14ac:dyDescent="0.25">
      <c r="A153" s="47">
        <v>1755</v>
      </c>
      <c r="B153" s="47" t="s">
        <v>313</v>
      </c>
      <c r="C153" s="47" t="s">
        <v>265</v>
      </c>
      <c r="D153" s="47" t="s">
        <v>36</v>
      </c>
      <c r="E153" s="47" t="s">
        <v>55</v>
      </c>
      <c r="F153" s="48">
        <v>45839</v>
      </c>
      <c r="G153" s="49"/>
      <c r="H153" s="48">
        <v>37275</v>
      </c>
      <c r="I153" s="48">
        <f t="shared" si="16"/>
        <v>59190</v>
      </c>
      <c r="J153" s="48"/>
      <c r="K153" s="84">
        <v>1</v>
      </c>
      <c r="L153" s="48"/>
      <c r="M153" s="5">
        <f t="shared" ca="1" si="17"/>
        <v>24.416666666666668</v>
      </c>
      <c r="N153" s="42" t="s">
        <v>39</v>
      </c>
      <c r="O153" s="43" t="s">
        <v>3</v>
      </c>
      <c r="P153" s="1" t="s">
        <v>40</v>
      </c>
      <c r="Q153" s="30" t="str">
        <f ca="1">IF(K153=1,IF(Paramètres!$E$9,IF(M153&lt;Paramètres!$B$13,Paramètres!$C$13,IF(M153&lt;Paramètres!$B$14,Paramètres!$C$14,IF(M153&lt;Paramètres!$B$15,Paramètres!$C$15,IF(M153&lt;Paramètres!$B$16,Paramètres!$C$16,IF(M153&lt;Paramètres!$B$17,Paramètres!$C$17,IF(M153&lt;Paramètres!$B$18,Paramètres!$C$18,IF(M153&lt;Paramètres!$B$19,Paramètres!$C$19,IF(M153&lt;Paramètres!$B$20,Paramètres!$C$20,IF(M153&lt;Paramètres!$B$21,Paramètres!$C$21,Paramètres!$C$22))))))))),M153),"")</f>
        <v>De 18 à 24 ans</v>
      </c>
      <c r="R153" s="1">
        <f t="shared" si="18"/>
        <v>1</v>
      </c>
      <c r="S153" s="31">
        <f t="shared" ca="1" si="19"/>
        <v>1</v>
      </c>
      <c r="T153" s="1" t="str">
        <f ca="1">IF(K153=1,IF(Paramètres!$E$25,IF(S153&lt;Paramètres!$B$29,Paramètres!$C$29,IF(S153&lt;Paramètres!$B$30,Paramètres!$C$30,IF(S153&lt;Paramètres!$B$31,Paramètres!$C$31,IF(S153&lt;Paramètres!$B$32,Paramètres!$C$32,IF(S153&lt;Paramètres!$B$33,Paramètres!$C$33,IF(S153&lt;Paramètres!$B$34,Paramètres!$C$34,IF(S153&lt;Paramètres!$B$35,Paramètres!$C$35,IF(S153&lt;Paramètres!$B$36,Paramètres!$C$36,IF(S153&lt;Paramètres!$B$37,Paramètres!$C$37,Paramètres!$C$38))))))))),[3]Données!P593),"")</f>
        <v>De 0 à 3 ans</v>
      </c>
    </row>
    <row r="154" spans="1:20" hidden="1" x14ac:dyDescent="0.25">
      <c r="A154" s="47">
        <v>1756</v>
      </c>
      <c r="B154" s="47" t="s">
        <v>314</v>
      </c>
      <c r="C154" s="47" t="s">
        <v>284</v>
      </c>
      <c r="D154" s="47" t="s">
        <v>36</v>
      </c>
      <c r="E154" s="47" t="s">
        <v>55</v>
      </c>
      <c r="F154" s="48">
        <v>45839</v>
      </c>
      <c r="G154" s="49"/>
      <c r="H154" s="48">
        <v>33111</v>
      </c>
      <c r="I154" s="48">
        <f t="shared" si="16"/>
        <v>55026</v>
      </c>
      <c r="J154" s="48"/>
      <c r="K154" s="84">
        <v>1</v>
      </c>
      <c r="L154" s="48"/>
      <c r="M154" s="5">
        <f t="shared" ca="1" si="17"/>
        <v>35.833333333333336</v>
      </c>
      <c r="N154" s="42" t="s">
        <v>39</v>
      </c>
      <c r="O154" s="43" t="s">
        <v>3</v>
      </c>
      <c r="P154" s="1" t="s">
        <v>40</v>
      </c>
      <c r="Q154" s="30" t="str">
        <f ca="1">IF(K154=1,IF(Paramètres!$E$9,IF(M154&lt;Paramètres!$B$13,Paramètres!$C$13,IF(M154&lt;Paramètres!$B$14,Paramètres!$C$14,IF(M154&lt;Paramètres!$B$15,Paramètres!$C$15,IF(M154&lt;Paramètres!$B$16,Paramètres!$C$16,IF(M154&lt;Paramètres!$B$17,Paramètres!$C$17,IF(M154&lt;Paramètres!$B$18,Paramètres!$C$18,IF(M154&lt;Paramètres!$B$19,Paramètres!$C$19,IF(M154&lt;Paramètres!$B$20,Paramètres!$C$20,IF(M154&lt;Paramètres!$B$21,Paramètres!$C$21,Paramètres!$C$22))))))))),M154),"")</f>
        <v>De 35 à 39 ans</v>
      </c>
      <c r="R154" s="1">
        <f t="shared" si="18"/>
        <v>1</v>
      </c>
      <c r="S154" s="31">
        <f t="shared" ca="1" si="19"/>
        <v>1</v>
      </c>
      <c r="T154" s="1" t="str">
        <f ca="1">IF(K154=1,IF(Paramètres!$E$25,IF(S154&lt;Paramètres!$B$29,Paramètres!$C$29,IF(S154&lt;Paramètres!$B$30,Paramètres!$C$30,IF(S154&lt;Paramètres!$B$31,Paramètres!$C$31,IF(S154&lt;Paramètres!$B$32,Paramètres!$C$32,IF(S154&lt;Paramètres!$B$33,Paramètres!$C$33,IF(S154&lt;Paramètres!$B$34,Paramètres!$C$34,IF(S154&lt;Paramètres!$B$35,Paramètres!$C$35,IF(S154&lt;Paramètres!$B$36,Paramètres!$C$36,IF(S154&lt;Paramètres!$B$37,Paramètres!$C$37,Paramètres!$C$38))))))))),[3]Données!P594),"")</f>
        <v>De 0 à 3 ans</v>
      </c>
    </row>
    <row r="155" spans="1:20" hidden="1" x14ac:dyDescent="0.25">
      <c r="A155" s="47">
        <v>1757</v>
      </c>
      <c r="B155" s="47" t="s">
        <v>315</v>
      </c>
      <c r="C155" s="47" t="s">
        <v>316</v>
      </c>
      <c r="D155" s="47" t="s">
        <v>36</v>
      </c>
      <c r="E155" s="47" t="s">
        <v>55</v>
      </c>
      <c r="F155" s="48">
        <v>45839</v>
      </c>
      <c r="G155" s="49"/>
      <c r="H155" s="48">
        <v>34375</v>
      </c>
      <c r="I155" s="48">
        <f t="shared" si="16"/>
        <v>56290</v>
      </c>
      <c r="J155" s="48"/>
      <c r="K155" s="84">
        <v>1</v>
      </c>
      <c r="L155" s="48"/>
      <c r="M155" s="5">
        <f t="shared" ca="1" si="17"/>
        <v>32.333333333333336</v>
      </c>
      <c r="N155" s="42" t="s">
        <v>39</v>
      </c>
      <c r="O155" s="43" t="s">
        <v>3</v>
      </c>
      <c r="P155" s="1" t="s">
        <v>40</v>
      </c>
      <c r="Q155" s="30" t="str">
        <f ca="1">IF(K155=1,IF(Paramètres!$E$9,IF(M155&lt;Paramètres!$B$13,Paramètres!$C$13,IF(M155&lt;Paramètres!$B$14,Paramètres!$C$14,IF(M155&lt;Paramètres!$B$15,Paramètres!$C$15,IF(M155&lt;Paramètres!$B$16,Paramètres!$C$16,IF(M155&lt;Paramètres!$B$17,Paramètres!$C$17,IF(M155&lt;Paramètres!$B$18,Paramètres!$C$18,IF(M155&lt;Paramètres!$B$19,Paramètres!$C$19,IF(M155&lt;Paramètres!$B$20,Paramètres!$C$20,IF(M155&lt;Paramètres!$B$21,Paramètres!$C$21,Paramètres!$C$22))))))))),M155),"")</f>
        <v>De 30 à 34 ans</v>
      </c>
      <c r="R155" s="1">
        <f t="shared" si="18"/>
        <v>1</v>
      </c>
      <c r="S155" s="31">
        <f t="shared" ca="1" si="19"/>
        <v>1</v>
      </c>
      <c r="T155" s="1" t="str">
        <f ca="1">IF(K155=1,IF(Paramètres!$E$25,IF(S155&lt;Paramètres!$B$29,Paramètres!$C$29,IF(S155&lt;Paramètres!$B$30,Paramètres!$C$30,IF(S155&lt;Paramètres!$B$31,Paramètres!$C$31,IF(S155&lt;Paramètres!$B$32,Paramètres!$C$32,IF(S155&lt;Paramètres!$B$33,Paramètres!$C$33,IF(S155&lt;Paramètres!$B$34,Paramètres!$C$34,IF(S155&lt;Paramètres!$B$35,Paramètres!$C$35,IF(S155&lt;Paramètres!$B$36,Paramètres!$C$36,IF(S155&lt;Paramètres!$B$37,Paramètres!$C$37,Paramètres!$C$38))))))))),[3]Données!P595),"")</f>
        <v>De 0 à 3 ans</v>
      </c>
    </row>
    <row r="156" spans="1:20" hidden="1" x14ac:dyDescent="0.25">
      <c r="A156" s="47">
        <v>1758</v>
      </c>
      <c r="B156" s="47" t="s">
        <v>317</v>
      </c>
      <c r="C156" s="47" t="s">
        <v>232</v>
      </c>
      <c r="D156" s="47" t="s">
        <v>36</v>
      </c>
      <c r="E156" s="47" t="s">
        <v>55</v>
      </c>
      <c r="F156" s="48">
        <v>45839</v>
      </c>
      <c r="G156" s="49"/>
      <c r="H156" s="48">
        <v>38302</v>
      </c>
      <c r="I156" s="48">
        <f t="shared" si="16"/>
        <v>60217</v>
      </c>
      <c r="J156" s="48"/>
      <c r="K156" s="84">
        <v>1</v>
      </c>
      <c r="L156" s="48"/>
      <c r="M156" s="5">
        <f t="shared" ca="1" si="17"/>
        <v>21.583333333333332</v>
      </c>
      <c r="N156" s="42" t="s">
        <v>39</v>
      </c>
      <c r="O156" s="43" t="s">
        <v>3</v>
      </c>
      <c r="P156" s="1" t="s">
        <v>40</v>
      </c>
      <c r="Q156" s="30" t="str">
        <f ca="1">IF(K156=1,IF(Paramètres!$E$9,IF(M156&lt;Paramètres!$B$13,Paramètres!$C$13,IF(M156&lt;Paramètres!$B$14,Paramètres!$C$14,IF(M156&lt;Paramètres!$B$15,Paramètres!$C$15,IF(M156&lt;Paramètres!$B$16,Paramètres!$C$16,IF(M156&lt;Paramètres!$B$17,Paramètres!$C$17,IF(M156&lt;Paramètres!$B$18,Paramètres!$C$18,IF(M156&lt;Paramètres!$B$19,Paramètres!$C$19,IF(M156&lt;Paramètres!$B$20,Paramètres!$C$20,IF(M156&lt;Paramètres!$B$21,Paramètres!$C$21,Paramètres!$C$22))))))))),M156),"")</f>
        <v>De 18 à 24 ans</v>
      </c>
      <c r="R156" s="1">
        <f t="shared" si="18"/>
        <v>1</v>
      </c>
      <c r="S156" s="31">
        <f t="shared" ca="1" si="19"/>
        <v>1</v>
      </c>
      <c r="T156" s="1" t="str">
        <f ca="1">IF(K156=1,IF(Paramètres!$E$25,IF(S156&lt;Paramètres!$B$29,Paramètres!$C$29,IF(S156&lt;Paramètres!$B$30,Paramètres!$C$30,IF(S156&lt;Paramètres!$B$31,Paramètres!$C$31,IF(S156&lt;Paramètres!$B$32,Paramètres!$C$32,IF(S156&lt;Paramètres!$B$33,Paramètres!$C$33,IF(S156&lt;Paramètres!$B$34,Paramètres!$C$34,IF(S156&lt;Paramètres!$B$35,Paramètres!$C$35,IF(S156&lt;Paramètres!$B$36,Paramètres!$C$36,IF(S156&lt;Paramètres!$B$37,Paramètres!$C$37,Paramètres!$C$38))))))))),[3]Données!P596),"")</f>
        <v>De 0 à 3 ans</v>
      </c>
    </row>
    <row r="157" spans="1:20" hidden="1" x14ac:dyDescent="0.25">
      <c r="A157" s="47">
        <v>1759</v>
      </c>
      <c r="B157" s="47" t="s">
        <v>318</v>
      </c>
      <c r="C157" s="47" t="s">
        <v>319</v>
      </c>
      <c r="D157" s="47" t="s">
        <v>36</v>
      </c>
      <c r="E157" s="47" t="s">
        <v>55</v>
      </c>
      <c r="F157" s="48">
        <v>45839</v>
      </c>
      <c r="G157" s="49"/>
      <c r="H157" s="48">
        <v>35991</v>
      </c>
      <c r="I157" s="48">
        <f t="shared" si="16"/>
        <v>57906</v>
      </c>
      <c r="J157" s="48"/>
      <c r="K157" s="84">
        <v>1</v>
      </c>
      <c r="L157" s="48"/>
      <c r="M157" s="5">
        <f t="shared" ca="1" si="17"/>
        <v>27.916666666666668</v>
      </c>
      <c r="N157" s="42" t="s">
        <v>39</v>
      </c>
      <c r="O157" s="43" t="s">
        <v>2</v>
      </c>
      <c r="P157" s="1" t="s">
        <v>40</v>
      </c>
      <c r="Q157" s="30" t="str">
        <f ca="1">IF(K157=1,IF(Paramètres!$E$9,IF(M157&lt;Paramètres!$B$13,Paramètres!$C$13,IF(M157&lt;Paramètres!$B$14,Paramètres!$C$14,IF(M157&lt;Paramètres!$B$15,Paramètres!$C$15,IF(M157&lt;Paramètres!$B$16,Paramètres!$C$16,IF(M157&lt;Paramètres!$B$17,Paramètres!$C$17,IF(M157&lt;Paramètres!$B$18,Paramètres!$C$18,IF(M157&lt;Paramètres!$B$19,Paramètres!$C$19,IF(M157&lt;Paramètres!$B$20,Paramètres!$C$20,IF(M157&lt;Paramètres!$B$21,Paramètres!$C$21,Paramètres!$C$22))))))))),M157),"")</f>
        <v>De 25 à 29 ans</v>
      </c>
      <c r="R157" s="1">
        <f t="shared" si="18"/>
        <v>1</v>
      </c>
      <c r="S157" s="31">
        <f t="shared" ca="1" si="19"/>
        <v>1</v>
      </c>
      <c r="T157" s="1" t="str">
        <f ca="1">IF(K157=1,IF(Paramètres!$E$25,IF(S157&lt;Paramètres!$B$29,Paramètres!$C$29,IF(S157&lt;Paramètres!$B$30,Paramètres!$C$30,IF(S157&lt;Paramètres!$B$31,Paramètres!$C$31,IF(S157&lt;Paramètres!$B$32,Paramètres!$C$32,IF(S157&lt;Paramètres!$B$33,Paramètres!$C$33,IF(S157&lt;Paramètres!$B$34,Paramètres!$C$34,IF(S157&lt;Paramètres!$B$35,Paramètres!$C$35,IF(S157&lt;Paramètres!$B$36,Paramètres!$C$36,IF(S157&lt;Paramètres!$B$37,Paramètres!$C$37,Paramètres!$C$38))))))))),[3]Données!P597),"")</f>
        <v>De 0 à 3 ans</v>
      </c>
    </row>
    <row r="158" spans="1:20" hidden="1" x14ac:dyDescent="0.25">
      <c r="A158" s="47">
        <v>1760</v>
      </c>
      <c r="B158" s="47" t="s">
        <v>320</v>
      </c>
      <c r="C158" s="47" t="s">
        <v>321</v>
      </c>
      <c r="D158" s="47" t="s">
        <v>36</v>
      </c>
      <c r="E158" s="47" t="s">
        <v>55</v>
      </c>
      <c r="F158" s="48">
        <v>45845</v>
      </c>
      <c r="G158" s="49"/>
      <c r="H158" s="48">
        <v>34637</v>
      </c>
      <c r="I158" s="48">
        <f t="shared" si="16"/>
        <v>56552</v>
      </c>
      <c r="J158" s="48"/>
      <c r="K158" s="84">
        <v>1</v>
      </c>
      <c r="L158" s="48"/>
      <c r="M158" s="5">
        <f t="shared" ca="1" si="17"/>
        <v>31.666666666666668</v>
      </c>
      <c r="N158" s="42" t="s">
        <v>39</v>
      </c>
      <c r="O158" s="43" t="s">
        <v>2</v>
      </c>
      <c r="P158" s="1" t="s">
        <v>40</v>
      </c>
      <c r="Q158" s="30" t="str">
        <f ca="1">IF(K158=1,IF(Paramètres!$E$9,IF(M158&lt;Paramètres!$B$13,Paramètres!$C$13,IF(M158&lt;Paramètres!$B$14,Paramètres!$C$14,IF(M158&lt;Paramètres!$B$15,Paramètres!$C$15,IF(M158&lt;Paramètres!$B$16,Paramètres!$C$16,IF(M158&lt;Paramètres!$B$17,Paramètres!$C$17,IF(M158&lt;Paramètres!$B$18,Paramètres!$C$18,IF(M158&lt;Paramètres!$B$19,Paramètres!$C$19,IF(M158&lt;Paramètres!$B$20,Paramètres!$C$20,IF(M158&lt;Paramètres!$B$21,Paramètres!$C$21,Paramètres!$C$22))))))))),M158),"")</f>
        <v>De 30 à 34 ans</v>
      </c>
      <c r="R158" s="1">
        <f t="shared" si="18"/>
        <v>1</v>
      </c>
      <c r="S158" s="31">
        <f t="shared" ca="1" si="19"/>
        <v>1</v>
      </c>
      <c r="T158" s="1" t="str">
        <f ca="1">IF(K158=1,IF(Paramètres!$E$25,IF(S158&lt;Paramètres!$B$29,Paramètres!$C$29,IF(S158&lt;Paramètres!$B$30,Paramètres!$C$30,IF(S158&lt;Paramètres!$B$31,Paramètres!$C$31,IF(S158&lt;Paramètres!$B$32,Paramètres!$C$32,IF(S158&lt;Paramètres!$B$33,Paramètres!$C$33,IF(S158&lt;Paramètres!$B$34,Paramètres!$C$34,IF(S158&lt;Paramètres!$B$35,Paramètres!$C$35,IF(S158&lt;Paramètres!$B$36,Paramètres!$C$36,IF(S158&lt;Paramètres!$B$37,Paramètres!$C$37,Paramètres!$C$38))))))))),[3]Données!P598),"")</f>
        <v>De 0 à 3 ans</v>
      </c>
    </row>
    <row r="159" spans="1:20" hidden="1" x14ac:dyDescent="0.25">
      <c r="A159" s="47">
        <v>1769</v>
      </c>
      <c r="B159" s="47" t="s">
        <v>322</v>
      </c>
      <c r="C159" s="47" t="s">
        <v>323</v>
      </c>
      <c r="D159" s="47" t="s">
        <v>36</v>
      </c>
      <c r="E159" s="47" t="s">
        <v>37</v>
      </c>
      <c r="F159" s="48">
        <v>45873</v>
      </c>
      <c r="G159" s="49"/>
      <c r="H159" s="48">
        <v>32835</v>
      </c>
      <c r="I159" s="48">
        <f t="shared" si="16"/>
        <v>54750</v>
      </c>
      <c r="J159" s="48"/>
      <c r="K159" s="84">
        <v>1</v>
      </c>
      <c r="L159" s="48"/>
      <c r="M159" s="5">
        <f t="shared" ca="1" si="17"/>
        <v>36.583333333333336</v>
      </c>
      <c r="N159" s="42" t="s">
        <v>39</v>
      </c>
      <c r="O159" s="43" t="s">
        <v>2</v>
      </c>
      <c r="P159" s="1" t="s">
        <v>40</v>
      </c>
      <c r="Q159" s="30" t="str">
        <f ca="1">IF(K159=1,IF(Paramètres!$E$9,IF(M159&lt;Paramètres!$B$13,Paramètres!$C$13,IF(M159&lt;Paramètres!$B$14,Paramètres!$C$14,IF(M159&lt;Paramètres!$B$15,Paramètres!$C$15,IF(M159&lt;Paramètres!$B$16,Paramètres!$C$16,IF(M159&lt;Paramètres!$B$17,Paramètres!$C$17,IF(M159&lt;Paramètres!$B$18,Paramètres!$C$18,IF(M159&lt;Paramètres!$B$19,Paramètres!$C$19,IF(M159&lt;Paramètres!$B$20,Paramètres!$C$20,IF(M159&lt;Paramètres!$B$21,Paramètres!$C$21,Paramètres!$C$22))))))))),M159),"")</f>
        <v>De 35 à 39 ans</v>
      </c>
      <c r="R159" s="1">
        <f t="shared" si="18"/>
        <v>1</v>
      </c>
      <c r="S159" s="31">
        <f t="shared" ca="1" si="19"/>
        <v>0.91666666666666663</v>
      </c>
      <c r="T159" s="1" t="str">
        <f ca="1">IF(K159=1,IF(Paramètres!$E$25,IF(S159&lt;Paramètres!$B$29,Paramètres!$C$29,IF(S159&lt;Paramètres!$B$30,Paramètres!$C$30,IF(S159&lt;Paramètres!$B$31,Paramètres!$C$31,IF(S159&lt;Paramètres!$B$32,Paramètres!$C$32,IF(S159&lt;Paramètres!$B$33,Paramètres!$C$33,IF(S159&lt;Paramètres!$B$34,Paramètres!$C$34,IF(S159&lt;Paramètres!$B$35,Paramètres!$C$35,IF(S159&lt;Paramètres!$B$36,Paramètres!$C$36,IF(S159&lt;Paramètres!$B$37,Paramètres!$C$37,Paramètres!$C$38))))))))),[3]Données!P599),"")</f>
        <v>De 0 à 3 ans</v>
      </c>
    </row>
  </sheetData>
  <autoFilter ref="A1:T159" xr:uid="{00000000-0001-0000-0000-000000000000}">
    <filterColumn colId="9">
      <customFilters>
        <customFilter operator="notEqual" val=" "/>
      </customFilters>
    </filterColumn>
    <sortState xmlns:xlrd2="http://schemas.microsoft.com/office/spreadsheetml/2017/richdata2" ref="A2:T159">
      <sortCondition ref="A1:A159"/>
    </sortState>
  </autoFilter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B652-FFC9-4BC2-9A96-A1AA50051909}">
  <dimension ref="A1:AG122"/>
  <sheetViews>
    <sheetView workbookViewId="0">
      <selection activeCell="D4" sqref="D4"/>
    </sheetView>
  </sheetViews>
  <sheetFormatPr baseColWidth="10" defaultColWidth="11.42578125" defaultRowHeight="15" x14ac:dyDescent="0.25"/>
  <cols>
    <col min="1" max="1" width="9" bestFit="1" customWidth="1"/>
    <col min="2" max="2" width="14.140625" bestFit="1" customWidth="1"/>
    <col min="3" max="3" width="18.28515625" bestFit="1" customWidth="1"/>
    <col min="4" max="4" width="12.7109375" bestFit="1" customWidth="1"/>
    <col min="5" max="5" width="12" bestFit="1" customWidth="1"/>
    <col min="6" max="6" width="17.28515625" bestFit="1" customWidth="1"/>
    <col min="7" max="7" width="18" bestFit="1" customWidth="1"/>
    <col min="8" max="8" width="14.7109375" bestFit="1" customWidth="1"/>
    <col min="9" max="9" width="14.28515625" bestFit="1" customWidth="1"/>
    <col min="10" max="10" width="16.28515625" bestFit="1" customWidth="1"/>
    <col min="11" max="11" width="14.5703125" bestFit="1" customWidth="1"/>
    <col min="12" max="12" width="16.7109375" bestFit="1" customWidth="1"/>
    <col min="13" max="13" width="21.5703125" bestFit="1" customWidth="1"/>
    <col min="14" max="14" width="15.42578125" bestFit="1" customWidth="1"/>
    <col min="15" max="15" width="16.42578125" bestFit="1" customWidth="1"/>
    <col min="16" max="16" width="17.28515625" bestFit="1" customWidth="1"/>
    <col min="17" max="18" width="21.7109375" bestFit="1" customWidth="1"/>
    <col min="19" max="19" width="20" bestFit="1" customWidth="1"/>
    <col min="20" max="20" width="18.5703125" bestFit="1" customWidth="1"/>
    <col min="21" max="21" width="11.28515625" bestFit="1" customWidth="1"/>
    <col min="22" max="22" width="9.140625" bestFit="1" customWidth="1"/>
    <col min="23" max="23" width="22.7109375" bestFit="1" customWidth="1"/>
    <col min="24" max="24" width="21.7109375" bestFit="1" customWidth="1"/>
    <col min="25" max="25" width="8" bestFit="1" customWidth="1"/>
    <col min="26" max="26" width="6.85546875" bestFit="1" customWidth="1"/>
    <col min="27" max="29" width="15.5703125" bestFit="1" customWidth="1"/>
    <col min="30" max="30" width="6.85546875" bestFit="1" customWidth="1"/>
    <col min="31" max="31" width="7.85546875" bestFit="1" customWidth="1"/>
    <col min="32" max="32" width="20.28515625" bestFit="1" customWidth="1"/>
    <col min="33" max="33" width="7.7109375" bestFit="1" customWidth="1"/>
  </cols>
  <sheetData>
    <row r="1" spans="1:33" s="98" customFormat="1" ht="30" x14ac:dyDescent="0.25">
      <c r="A1" s="97" t="s">
        <v>324</v>
      </c>
      <c r="B1" s="97" t="s">
        <v>325</v>
      </c>
      <c r="C1" s="97" t="s">
        <v>326</v>
      </c>
      <c r="D1" s="97" t="s">
        <v>17</v>
      </c>
      <c r="E1" s="97" t="s">
        <v>327</v>
      </c>
      <c r="F1" s="97" t="s">
        <v>328</v>
      </c>
      <c r="G1" s="97" t="s">
        <v>329</v>
      </c>
      <c r="H1" s="97" t="s">
        <v>330</v>
      </c>
      <c r="I1" s="97" t="s">
        <v>331</v>
      </c>
      <c r="J1" s="97" t="s">
        <v>332</v>
      </c>
      <c r="K1" s="97" t="s">
        <v>333</v>
      </c>
      <c r="L1" s="97" t="s">
        <v>334</v>
      </c>
      <c r="M1" s="97" t="s">
        <v>335</v>
      </c>
      <c r="N1" s="97" t="s">
        <v>336</v>
      </c>
      <c r="O1" s="97" t="s">
        <v>337</v>
      </c>
      <c r="P1" s="97" t="s">
        <v>338</v>
      </c>
      <c r="Q1" s="97" t="s">
        <v>339</v>
      </c>
      <c r="R1" s="97" t="s">
        <v>340</v>
      </c>
      <c r="S1" s="97" t="s">
        <v>341</v>
      </c>
      <c r="T1" s="97" t="s">
        <v>342</v>
      </c>
      <c r="U1" s="97" t="s">
        <v>343</v>
      </c>
      <c r="V1" s="97" t="s">
        <v>344</v>
      </c>
      <c r="W1" s="97" t="s">
        <v>345</v>
      </c>
      <c r="X1" s="97" t="s">
        <v>346</v>
      </c>
      <c r="Y1" s="97" t="s">
        <v>18</v>
      </c>
      <c r="Z1" s="97" t="s">
        <v>347</v>
      </c>
      <c r="AA1" s="97" t="s">
        <v>19</v>
      </c>
      <c r="AB1" s="97" t="s">
        <v>348</v>
      </c>
      <c r="AC1" s="97" t="s">
        <v>349</v>
      </c>
      <c r="AD1" s="97" t="s">
        <v>350</v>
      </c>
      <c r="AE1" s="97" t="s">
        <v>351</v>
      </c>
      <c r="AF1" s="97" t="s">
        <v>352</v>
      </c>
      <c r="AG1" s="97" t="s">
        <v>20</v>
      </c>
    </row>
    <row r="2" spans="1:33" s="98" customFormat="1" ht="30" x14ac:dyDescent="0.25">
      <c r="A2" s="90">
        <v>1537</v>
      </c>
      <c r="B2" s="90" t="s">
        <v>242</v>
      </c>
      <c r="C2" s="90" t="s">
        <v>243</v>
      </c>
      <c r="D2" s="90" t="s">
        <v>36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 t="s">
        <v>55</v>
      </c>
      <c r="Z2" s="90" t="s">
        <v>353</v>
      </c>
      <c r="AA2" s="99">
        <v>44986</v>
      </c>
      <c r="AB2" s="90"/>
      <c r="AC2" s="99">
        <v>35885</v>
      </c>
      <c r="AD2" s="90" t="s">
        <v>354</v>
      </c>
      <c r="AE2" s="90" t="s">
        <v>39</v>
      </c>
      <c r="AF2" s="90">
        <v>0</v>
      </c>
      <c r="AG2" s="90" t="s">
        <v>355</v>
      </c>
    </row>
    <row r="3" spans="1:33" s="98" customFormat="1" ht="30" x14ac:dyDescent="0.25">
      <c r="A3" s="90">
        <v>1513</v>
      </c>
      <c r="B3" s="90" t="s">
        <v>231</v>
      </c>
      <c r="C3" s="90" t="s">
        <v>232</v>
      </c>
      <c r="D3" s="90" t="s">
        <v>36</v>
      </c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 t="s">
        <v>55</v>
      </c>
      <c r="Z3" s="90" t="s">
        <v>353</v>
      </c>
      <c r="AA3" s="99">
        <v>44928</v>
      </c>
      <c r="AB3" s="90"/>
      <c r="AC3" s="99">
        <v>37098</v>
      </c>
      <c r="AD3" s="90" t="s">
        <v>356</v>
      </c>
      <c r="AE3" s="90" t="s">
        <v>39</v>
      </c>
      <c r="AF3" s="90">
        <v>5</v>
      </c>
      <c r="AG3" s="90" t="s">
        <v>355</v>
      </c>
    </row>
    <row r="4" spans="1:33" s="98" customFormat="1" ht="30" x14ac:dyDescent="0.25">
      <c r="A4" s="90">
        <v>1516</v>
      </c>
      <c r="B4" s="90" t="s">
        <v>235</v>
      </c>
      <c r="C4" s="90" t="s">
        <v>167</v>
      </c>
      <c r="D4" s="90" t="s">
        <v>36</v>
      </c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 t="s">
        <v>55</v>
      </c>
      <c r="Z4" s="90" t="s">
        <v>353</v>
      </c>
      <c r="AA4" s="99">
        <v>44928</v>
      </c>
      <c r="AB4" s="90"/>
      <c r="AC4" s="99">
        <v>32738</v>
      </c>
      <c r="AD4" s="90" t="s">
        <v>354</v>
      </c>
      <c r="AE4" s="90" t="s">
        <v>39</v>
      </c>
      <c r="AF4" s="90">
        <v>5</v>
      </c>
      <c r="AG4" s="90" t="s">
        <v>355</v>
      </c>
    </row>
    <row r="5" spans="1:33" s="98" customFormat="1" ht="30" x14ac:dyDescent="0.25">
      <c r="A5" s="90">
        <v>1628</v>
      </c>
      <c r="B5" s="90" t="s">
        <v>266</v>
      </c>
      <c r="C5" s="90" t="s">
        <v>267</v>
      </c>
      <c r="D5" s="90" t="s">
        <v>36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 t="s">
        <v>55</v>
      </c>
      <c r="Z5" s="90" t="s">
        <v>353</v>
      </c>
      <c r="AA5" s="99">
        <v>45383</v>
      </c>
      <c r="AB5" s="90"/>
      <c r="AC5" s="99">
        <v>37320</v>
      </c>
      <c r="AD5" s="90" t="s">
        <v>356</v>
      </c>
      <c r="AE5" s="90" t="s">
        <v>39</v>
      </c>
      <c r="AF5" s="90">
        <v>0</v>
      </c>
      <c r="AG5" s="90" t="s">
        <v>355</v>
      </c>
    </row>
    <row r="6" spans="1:33" s="98" customFormat="1" ht="30" x14ac:dyDescent="0.25">
      <c r="A6" s="90">
        <v>456</v>
      </c>
      <c r="B6" s="90" t="s">
        <v>95</v>
      </c>
      <c r="C6" s="90" t="s">
        <v>96</v>
      </c>
      <c r="D6" s="90" t="s">
        <v>36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 t="s">
        <v>37</v>
      </c>
      <c r="Z6" s="90" t="s">
        <v>357</v>
      </c>
      <c r="AA6" s="99">
        <v>35947</v>
      </c>
      <c r="AB6" s="90"/>
      <c r="AC6" s="99">
        <v>26344</v>
      </c>
      <c r="AD6" s="90" t="s">
        <v>354</v>
      </c>
      <c r="AE6" s="90" t="s">
        <v>39</v>
      </c>
      <c r="AF6" s="90">
        <v>25</v>
      </c>
      <c r="AG6" s="90" t="s">
        <v>355</v>
      </c>
    </row>
    <row r="7" spans="1:33" s="98" customFormat="1" ht="30" x14ac:dyDescent="0.25">
      <c r="A7" s="90">
        <v>1525</v>
      </c>
      <c r="B7" s="90" t="s">
        <v>236</v>
      </c>
      <c r="C7" s="90" t="s">
        <v>237</v>
      </c>
      <c r="D7" s="90" t="s">
        <v>36</v>
      </c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 t="s">
        <v>55</v>
      </c>
      <c r="Z7" s="90" t="s">
        <v>353</v>
      </c>
      <c r="AA7" s="99">
        <v>44972</v>
      </c>
      <c r="AB7" s="90"/>
      <c r="AC7" s="99">
        <v>36825</v>
      </c>
      <c r="AD7" s="90" t="s">
        <v>354</v>
      </c>
      <c r="AE7" s="90" t="s">
        <v>39</v>
      </c>
      <c r="AF7" s="90">
        <v>0</v>
      </c>
      <c r="AG7" s="90" t="s">
        <v>355</v>
      </c>
    </row>
    <row r="8" spans="1:33" s="98" customFormat="1" ht="30" x14ac:dyDescent="0.25">
      <c r="A8" s="90">
        <v>1536</v>
      </c>
      <c r="B8" s="90" t="s">
        <v>240</v>
      </c>
      <c r="C8" s="90" t="s">
        <v>358</v>
      </c>
      <c r="D8" s="90" t="s">
        <v>36</v>
      </c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 t="s">
        <v>55</v>
      </c>
      <c r="Z8" s="90" t="s">
        <v>353</v>
      </c>
      <c r="AA8" s="99">
        <v>44986</v>
      </c>
      <c r="AB8" s="90"/>
      <c r="AC8" s="99">
        <v>34396</v>
      </c>
      <c r="AD8" s="90" t="s">
        <v>354</v>
      </c>
      <c r="AE8" s="90" t="s">
        <v>39</v>
      </c>
      <c r="AF8" s="90">
        <v>0</v>
      </c>
      <c r="AG8" s="90" t="s">
        <v>355</v>
      </c>
    </row>
    <row r="9" spans="1:33" s="98" customFormat="1" ht="30" x14ac:dyDescent="0.25">
      <c r="A9" s="90">
        <v>1559</v>
      </c>
      <c r="B9" s="90" t="s">
        <v>252</v>
      </c>
      <c r="C9" s="90" t="s">
        <v>253</v>
      </c>
      <c r="D9" s="90" t="s">
        <v>36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 t="s">
        <v>55</v>
      </c>
      <c r="Z9" s="90" t="s">
        <v>353</v>
      </c>
      <c r="AA9" s="99">
        <v>45108</v>
      </c>
      <c r="AB9" s="90"/>
      <c r="AC9" s="99">
        <v>33792</v>
      </c>
      <c r="AD9" s="90" t="s">
        <v>356</v>
      </c>
      <c r="AE9" s="90" t="s">
        <v>39</v>
      </c>
      <c r="AF9" s="90">
        <v>0</v>
      </c>
      <c r="AG9" s="90" t="s">
        <v>355</v>
      </c>
    </row>
    <row r="10" spans="1:33" s="98" customFormat="1" ht="30" x14ac:dyDescent="0.25">
      <c r="A10" s="90">
        <v>309</v>
      </c>
      <c r="B10" s="90" t="s">
        <v>45</v>
      </c>
      <c r="C10" s="90" t="s">
        <v>46</v>
      </c>
      <c r="D10" s="90" t="s">
        <v>36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 t="s">
        <v>37</v>
      </c>
      <c r="Z10" s="90">
        <v>3</v>
      </c>
      <c r="AA10" s="99">
        <v>32539</v>
      </c>
      <c r="AB10" s="90"/>
      <c r="AC10" s="99">
        <v>25653</v>
      </c>
      <c r="AD10" s="90" t="s">
        <v>354</v>
      </c>
      <c r="AE10" s="90" t="s">
        <v>39</v>
      </c>
      <c r="AF10" s="90">
        <v>25</v>
      </c>
      <c r="AG10" s="90" t="s">
        <v>355</v>
      </c>
    </row>
    <row r="11" spans="1:33" s="98" customFormat="1" ht="30" x14ac:dyDescent="0.25">
      <c r="A11" s="90">
        <v>512</v>
      </c>
      <c r="B11" s="90" t="s">
        <v>152</v>
      </c>
      <c r="C11" s="90" t="s">
        <v>42</v>
      </c>
      <c r="D11" s="90" t="s">
        <v>36</v>
      </c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 t="s">
        <v>37</v>
      </c>
      <c r="Z11" s="90" t="s">
        <v>357</v>
      </c>
      <c r="AA11" s="99">
        <v>36472</v>
      </c>
      <c r="AB11" s="90"/>
      <c r="AC11" s="99">
        <v>29036</v>
      </c>
      <c r="AD11" s="90" t="s">
        <v>354</v>
      </c>
      <c r="AE11" s="90" t="s">
        <v>39</v>
      </c>
      <c r="AF11" s="90">
        <v>25</v>
      </c>
      <c r="AG11" s="90" t="s">
        <v>355</v>
      </c>
    </row>
    <row r="12" spans="1:33" s="98" customFormat="1" ht="30" x14ac:dyDescent="0.25">
      <c r="A12" s="90">
        <v>1538</v>
      </c>
      <c r="B12" s="90" t="s">
        <v>244</v>
      </c>
      <c r="C12" s="90" t="s">
        <v>245</v>
      </c>
      <c r="D12" s="90" t="s">
        <v>36</v>
      </c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 t="s">
        <v>55</v>
      </c>
      <c r="Z12" s="90" t="s">
        <v>353</v>
      </c>
      <c r="AA12" s="99">
        <v>44998</v>
      </c>
      <c r="AB12" s="90"/>
      <c r="AC12" s="99">
        <v>35942</v>
      </c>
      <c r="AD12" s="90" t="s">
        <v>354</v>
      </c>
      <c r="AE12" s="90" t="s">
        <v>39</v>
      </c>
      <c r="AF12" s="90">
        <v>0</v>
      </c>
      <c r="AG12" s="90" t="s">
        <v>355</v>
      </c>
    </row>
    <row r="13" spans="1:33" s="98" customFormat="1" ht="30" x14ac:dyDescent="0.25">
      <c r="A13" s="90">
        <v>1594</v>
      </c>
      <c r="B13" s="90" t="s">
        <v>260</v>
      </c>
      <c r="C13" s="90" t="s">
        <v>261</v>
      </c>
      <c r="D13" s="90" t="s">
        <v>36</v>
      </c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 t="s">
        <v>55</v>
      </c>
      <c r="Z13" s="90" t="s">
        <v>353</v>
      </c>
      <c r="AA13" s="99">
        <v>45293</v>
      </c>
      <c r="AB13" s="90"/>
      <c r="AC13" s="99">
        <v>36960</v>
      </c>
      <c r="AD13" s="90" t="s">
        <v>356</v>
      </c>
      <c r="AE13" s="90" t="s">
        <v>39</v>
      </c>
      <c r="AF13" s="90">
        <v>0</v>
      </c>
      <c r="AG13" s="90" t="s">
        <v>355</v>
      </c>
    </row>
    <row r="14" spans="1:33" s="98" customFormat="1" ht="30" x14ac:dyDescent="0.25">
      <c r="A14" s="90">
        <v>1629</v>
      </c>
      <c r="B14" s="90" t="s">
        <v>268</v>
      </c>
      <c r="C14" s="90" t="s">
        <v>223</v>
      </c>
      <c r="D14" s="90" t="s">
        <v>36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 t="s">
        <v>55</v>
      </c>
      <c r="Z14" s="90" t="s">
        <v>353</v>
      </c>
      <c r="AA14" s="99">
        <v>45383</v>
      </c>
      <c r="AB14" s="90"/>
      <c r="AC14" s="99">
        <v>36510</v>
      </c>
      <c r="AD14" s="90" t="s">
        <v>356</v>
      </c>
      <c r="AE14" s="90" t="s">
        <v>39</v>
      </c>
      <c r="AF14" s="90">
        <v>0</v>
      </c>
      <c r="AG14" s="90" t="s">
        <v>355</v>
      </c>
    </row>
    <row r="15" spans="1:33" s="98" customFormat="1" ht="30" x14ac:dyDescent="0.25">
      <c r="A15" s="90">
        <v>1630</v>
      </c>
      <c r="B15" s="90" t="s">
        <v>269</v>
      </c>
      <c r="C15" s="90" t="s">
        <v>110</v>
      </c>
      <c r="D15" s="90" t="s">
        <v>36</v>
      </c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 t="s">
        <v>55</v>
      </c>
      <c r="Z15" s="90" t="s">
        <v>353</v>
      </c>
      <c r="AA15" s="99">
        <v>45383</v>
      </c>
      <c r="AB15" s="90"/>
      <c r="AC15" s="99">
        <v>34780</v>
      </c>
      <c r="AD15" s="90" t="s">
        <v>356</v>
      </c>
      <c r="AE15" s="90" t="s">
        <v>39</v>
      </c>
      <c r="AF15" s="90">
        <v>0</v>
      </c>
      <c r="AG15" s="90" t="s">
        <v>355</v>
      </c>
    </row>
    <row r="16" spans="1:33" s="98" customFormat="1" ht="30" x14ac:dyDescent="0.25">
      <c r="A16" s="90">
        <v>344</v>
      </c>
      <c r="B16" s="90" t="s">
        <v>62</v>
      </c>
      <c r="C16" s="90" t="s">
        <v>42</v>
      </c>
      <c r="D16" s="90" t="s">
        <v>36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 t="s">
        <v>37</v>
      </c>
      <c r="Z16" s="90">
        <v>4</v>
      </c>
      <c r="AA16" s="99">
        <v>33085</v>
      </c>
      <c r="AB16" s="99">
        <v>45953</v>
      </c>
      <c r="AC16" s="99">
        <v>24038</v>
      </c>
      <c r="AD16" s="90" t="s">
        <v>354</v>
      </c>
      <c r="AE16" s="90" t="s">
        <v>39</v>
      </c>
      <c r="AF16" s="90">
        <v>25</v>
      </c>
      <c r="AG16" s="90" t="s">
        <v>355</v>
      </c>
    </row>
    <row r="17" spans="1:33" s="98" customFormat="1" ht="30" x14ac:dyDescent="0.25">
      <c r="A17" s="90">
        <v>1280</v>
      </c>
      <c r="B17" s="90" t="s">
        <v>191</v>
      </c>
      <c r="C17" s="90" t="s">
        <v>46</v>
      </c>
      <c r="D17" s="90" t="s">
        <v>36</v>
      </c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 t="s">
        <v>37</v>
      </c>
      <c r="Z17" s="90" t="s">
        <v>359</v>
      </c>
      <c r="AA17" s="99">
        <v>41981</v>
      </c>
      <c r="AB17" s="90"/>
      <c r="AC17" s="99">
        <v>26299</v>
      </c>
      <c r="AD17" s="90" t="s">
        <v>354</v>
      </c>
      <c r="AE17" s="90" t="s">
        <v>39</v>
      </c>
      <c r="AF17" s="90">
        <v>10</v>
      </c>
      <c r="AG17" s="90" t="s">
        <v>247</v>
      </c>
    </row>
    <row r="18" spans="1:33" s="98" customFormat="1" ht="30" x14ac:dyDescent="0.25">
      <c r="A18" s="90">
        <v>393</v>
      </c>
      <c r="B18" s="90" t="s">
        <v>90</v>
      </c>
      <c r="C18" s="90" t="s">
        <v>91</v>
      </c>
      <c r="D18" s="90" t="s">
        <v>36</v>
      </c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 t="s">
        <v>37</v>
      </c>
      <c r="Z18" s="90">
        <v>4</v>
      </c>
      <c r="AA18" s="99">
        <v>34554</v>
      </c>
      <c r="AB18" s="90"/>
      <c r="AC18" s="99">
        <v>25165</v>
      </c>
      <c r="AD18" s="90" t="s">
        <v>354</v>
      </c>
      <c r="AE18" s="90" t="s">
        <v>39</v>
      </c>
      <c r="AF18" s="90">
        <v>25</v>
      </c>
      <c r="AG18" s="90" t="s">
        <v>251</v>
      </c>
    </row>
    <row r="19" spans="1:33" s="98" customFormat="1" ht="30" x14ac:dyDescent="0.25">
      <c r="A19" s="90">
        <v>372</v>
      </c>
      <c r="B19" s="90" t="s">
        <v>85</v>
      </c>
      <c r="C19" s="90" t="s">
        <v>86</v>
      </c>
      <c r="D19" s="90" t="s">
        <v>36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 t="s">
        <v>55</v>
      </c>
      <c r="Z19" s="90">
        <v>10</v>
      </c>
      <c r="AA19" s="99">
        <v>33948</v>
      </c>
      <c r="AB19" s="90"/>
      <c r="AC19" s="99">
        <v>27210</v>
      </c>
      <c r="AD19" s="90" t="s">
        <v>354</v>
      </c>
      <c r="AE19" s="90" t="s">
        <v>39</v>
      </c>
      <c r="AF19" s="90">
        <v>25</v>
      </c>
      <c r="AG19" s="90" t="s">
        <v>251</v>
      </c>
    </row>
    <row r="20" spans="1:33" s="98" customFormat="1" ht="30" x14ac:dyDescent="0.25">
      <c r="A20" s="90">
        <v>367</v>
      </c>
      <c r="B20" s="90" t="s">
        <v>80</v>
      </c>
      <c r="C20" s="90" t="s">
        <v>81</v>
      </c>
      <c r="D20" s="90" t="s">
        <v>36</v>
      </c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 t="s">
        <v>37</v>
      </c>
      <c r="Z20" s="90">
        <v>5</v>
      </c>
      <c r="AA20" s="99">
        <v>33637</v>
      </c>
      <c r="AB20" s="90"/>
      <c r="AC20" s="99">
        <v>25494</v>
      </c>
      <c r="AD20" s="90" t="s">
        <v>354</v>
      </c>
      <c r="AE20" s="90" t="s">
        <v>39</v>
      </c>
      <c r="AF20" s="90">
        <v>25</v>
      </c>
      <c r="AG20" s="90" t="s">
        <v>251</v>
      </c>
    </row>
    <row r="21" spans="1:33" s="98" customFormat="1" ht="30" x14ac:dyDescent="0.25">
      <c r="A21" s="90">
        <v>354</v>
      </c>
      <c r="B21" s="90" t="s">
        <v>66</v>
      </c>
      <c r="C21" s="90" t="s">
        <v>67</v>
      </c>
      <c r="D21" s="90" t="s">
        <v>36</v>
      </c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 t="s">
        <v>55</v>
      </c>
      <c r="Z21" s="90">
        <v>8</v>
      </c>
      <c r="AA21" s="99">
        <v>33233</v>
      </c>
      <c r="AB21" s="99">
        <v>45782</v>
      </c>
      <c r="AC21" s="99">
        <v>23867</v>
      </c>
      <c r="AD21" s="90" t="s">
        <v>356</v>
      </c>
      <c r="AE21" s="90" t="s">
        <v>39</v>
      </c>
      <c r="AF21" s="90">
        <v>25</v>
      </c>
      <c r="AG21" s="90" t="s">
        <v>251</v>
      </c>
    </row>
    <row r="22" spans="1:33" s="98" customFormat="1" ht="30" x14ac:dyDescent="0.25">
      <c r="A22" s="90">
        <v>347</v>
      </c>
      <c r="B22" s="90" t="s">
        <v>63</v>
      </c>
      <c r="C22" s="90" t="s">
        <v>64</v>
      </c>
      <c r="D22" s="90" t="s">
        <v>36</v>
      </c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 t="s">
        <v>37</v>
      </c>
      <c r="Z22" s="90">
        <v>5</v>
      </c>
      <c r="AA22" s="99">
        <v>33148</v>
      </c>
      <c r="AB22" s="90"/>
      <c r="AC22" s="99">
        <v>24867</v>
      </c>
      <c r="AD22" s="90" t="s">
        <v>354</v>
      </c>
      <c r="AE22" s="90" t="s">
        <v>39</v>
      </c>
      <c r="AF22" s="90">
        <v>25</v>
      </c>
      <c r="AG22" s="90" t="s">
        <v>251</v>
      </c>
    </row>
    <row r="23" spans="1:33" s="98" customFormat="1" ht="30" x14ac:dyDescent="0.25">
      <c r="A23" s="90">
        <v>332</v>
      </c>
      <c r="B23" s="90" t="s">
        <v>54</v>
      </c>
      <c r="C23" s="90" t="s">
        <v>42</v>
      </c>
      <c r="D23" s="90" t="s">
        <v>36</v>
      </c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 t="s">
        <v>55</v>
      </c>
      <c r="Z23" s="90">
        <v>10</v>
      </c>
      <c r="AA23" s="99">
        <v>32898</v>
      </c>
      <c r="AB23" s="90"/>
      <c r="AC23" s="99">
        <v>26218</v>
      </c>
      <c r="AD23" s="90" t="s">
        <v>354</v>
      </c>
      <c r="AE23" s="90" t="s">
        <v>39</v>
      </c>
      <c r="AF23" s="90">
        <v>25</v>
      </c>
      <c r="AG23" s="90" t="s">
        <v>251</v>
      </c>
    </row>
    <row r="24" spans="1:33" s="98" customFormat="1" ht="30" x14ac:dyDescent="0.25">
      <c r="A24" s="90">
        <v>1514</v>
      </c>
      <c r="B24" s="90" t="s">
        <v>233</v>
      </c>
      <c r="C24" s="90" t="s">
        <v>42</v>
      </c>
      <c r="D24" s="90" t="s">
        <v>36</v>
      </c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 t="s">
        <v>55</v>
      </c>
      <c r="Z24" s="90" t="s">
        <v>353</v>
      </c>
      <c r="AA24" s="99">
        <v>44914</v>
      </c>
      <c r="AB24" s="90"/>
      <c r="AC24" s="99">
        <v>35412</v>
      </c>
      <c r="AD24" s="90" t="s">
        <v>356</v>
      </c>
      <c r="AE24" s="90" t="s">
        <v>39</v>
      </c>
      <c r="AF24" s="90">
        <v>5</v>
      </c>
      <c r="AG24" s="90" t="s">
        <v>251</v>
      </c>
    </row>
    <row r="25" spans="1:33" s="98" customFormat="1" ht="30" x14ac:dyDescent="0.25">
      <c r="A25" s="90">
        <v>597</v>
      </c>
      <c r="B25" s="90" t="s">
        <v>156</v>
      </c>
      <c r="C25" s="90" t="s">
        <v>157</v>
      </c>
      <c r="D25" s="90" t="s">
        <v>36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 t="s">
        <v>37</v>
      </c>
      <c r="Z25" s="90" t="s">
        <v>360</v>
      </c>
      <c r="AA25" s="99">
        <v>37459</v>
      </c>
      <c r="AB25" s="90"/>
      <c r="AC25" s="99">
        <v>26873</v>
      </c>
      <c r="AD25" s="90" t="s">
        <v>361</v>
      </c>
      <c r="AE25" s="90" t="s">
        <v>39</v>
      </c>
      <c r="AF25" s="90">
        <v>20</v>
      </c>
      <c r="AG25" s="90" t="s">
        <v>251</v>
      </c>
    </row>
    <row r="26" spans="1:33" s="98" customFormat="1" ht="30" x14ac:dyDescent="0.25">
      <c r="A26" s="90">
        <v>1081</v>
      </c>
      <c r="B26" s="90" t="s">
        <v>171</v>
      </c>
      <c r="C26" s="90" t="s">
        <v>172</v>
      </c>
      <c r="D26" s="90" t="s">
        <v>36</v>
      </c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 t="s">
        <v>37</v>
      </c>
      <c r="Z26" s="90" t="s">
        <v>360</v>
      </c>
      <c r="AA26" s="99">
        <v>39853</v>
      </c>
      <c r="AB26" s="90"/>
      <c r="AC26" s="99">
        <v>31499</v>
      </c>
      <c r="AD26" s="90" t="s">
        <v>354</v>
      </c>
      <c r="AE26" s="90" t="s">
        <v>39</v>
      </c>
      <c r="AF26" s="90">
        <v>15</v>
      </c>
      <c r="AG26" s="90" t="s">
        <v>251</v>
      </c>
    </row>
    <row r="27" spans="1:33" s="98" customFormat="1" ht="30" x14ac:dyDescent="0.25">
      <c r="A27" s="90">
        <v>1082</v>
      </c>
      <c r="B27" s="90" t="s">
        <v>173</v>
      </c>
      <c r="C27" s="90" t="s">
        <v>133</v>
      </c>
      <c r="D27" s="90" t="s">
        <v>36</v>
      </c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 t="s">
        <v>37</v>
      </c>
      <c r="Z27" s="90" t="s">
        <v>357</v>
      </c>
      <c r="AA27" s="99">
        <v>39860</v>
      </c>
      <c r="AB27" s="90"/>
      <c r="AC27" s="99">
        <v>31635</v>
      </c>
      <c r="AD27" s="90" t="s">
        <v>354</v>
      </c>
      <c r="AE27" s="90" t="s">
        <v>39</v>
      </c>
      <c r="AF27" s="90">
        <v>15</v>
      </c>
      <c r="AG27" s="90" t="s">
        <v>251</v>
      </c>
    </row>
    <row r="28" spans="1:33" s="98" customFormat="1" ht="30" x14ac:dyDescent="0.25">
      <c r="A28" s="90">
        <v>1532</v>
      </c>
      <c r="B28" s="90" t="s">
        <v>238</v>
      </c>
      <c r="C28" s="90" t="s">
        <v>239</v>
      </c>
      <c r="D28" s="90" t="s">
        <v>36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 t="s">
        <v>55</v>
      </c>
      <c r="Z28" s="90" t="s">
        <v>356</v>
      </c>
      <c r="AA28" s="99">
        <v>44986</v>
      </c>
      <c r="AB28" s="90"/>
      <c r="AC28" s="99">
        <v>31779</v>
      </c>
      <c r="AD28" s="90" t="s">
        <v>354</v>
      </c>
      <c r="AE28" s="90" t="s">
        <v>39</v>
      </c>
      <c r="AF28" s="90">
        <v>0</v>
      </c>
      <c r="AG28" s="90" t="s">
        <v>251</v>
      </c>
    </row>
    <row r="29" spans="1:33" s="98" customFormat="1" ht="30" x14ac:dyDescent="0.25">
      <c r="A29" s="90">
        <v>1552</v>
      </c>
      <c r="B29" s="90" t="s">
        <v>248</v>
      </c>
      <c r="C29" s="90" t="s">
        <v>108</v>
      </c>
      <c r="D29" s="90" t="s">
        <v>36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 t="s">
        <v>55</v>
      </c>
      <c r="Z29" s="90" t="s">
        <v>353</v>
      </c>
      <c r="AA29" s="99">
        <v>45047</v>
      </c>
      <c r="AB29" s="90"/>
      <c r="AC29" s="99">
        <v>33786</v>
      </c>
      <c r="AD29" s="90" t="s">
        <v>354</v>
      </c>
      <c r="AE29" s="90" t="s">
        <v>39</v>
      </c>
      <c r="AF29" s="90">
        <v>0</v>
      </c>
      <c r="AG29" s="90" t="s">
        <v>251</v>
      </c>
    </row>
    <row r="30" spans="1:33" s="98" customFormat="1" ht="30" x14ac:dyDescent="0.25">
      <c r="A30" s="90">
        <v>1565</v>
      </c>
      <c r="B30" s="90" t="s">
        <v>254</v>
      </c>
      <c r="C30" s="90" t="s">
        <v>255</v>
      </c>
      <c r="D30" s="90" t="s">
        <v>36</v>
      </c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 t="s">
        <v>55</v>
      </c>
      <c r="Z30" s="90" t="s">
        <v>353</v>
      </c>
      <c r="AA30" s="99">
        <v>45139</v>
      </c>
      <c r="AB30" s="90"/>
      <c r="AC30" s="99">
        <v>35249</v>
      </c>
      <c r="AD30" s="90" t="s">
        <v>354</v>
      </c>
      <c r="AE30" s="90" t="s">
        <v>39</v>
      </c>
      <c r="AF30" s="90">
        <v>0</v>
      </c>
      <c r="AG30" s="90" t="s">
        <v>251</v>
      </c>
    </row>
    <row r="31" spans="1:33" s="98" customFormat="1" ht="30" x14ac:dyDescent="0.25">
      <c r="A31" s="90">
        <v>1595</v>
      </c>
      <c r="B31" s="90" t="s">
        <v>262</v>
      </c>
      <c r="C31" s="90" t="s">
        <v>42</v>
      </c>
      <c r="D31" s="90" t="s">
        <v>36</v>
      </c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 t="s">
        <v>55</v>
      </c>
      <c r="Z31" s="90" t="s">
        <v>353</v>
      </c>
      <c r="AA31" s="99">
        <v>45293</v>
      </c>
      <c r="AB31" s="90"/>
      <c r="AC31" s="99">
        <v>36718</v>
      </c>
      <c r="AD31" s="90" t="s">
        <v>356</v>
      </c>
      <c r="AE31" s="90" t="s">
        <v>39</v>
      </c>
      <c r="AF31" s="90">
        <v>0</v>
      </c>
      <c r="AG31" s="90" t="s">
        <v>251</v>
      </c>
    </row>
    <row r="32" spans="1:33" s="98" customFormat="1" ht="30" x14ac:dyDescent="0.25">
      <c r="A32" s="90">
        <v>1627</v>
      </c>
      <c r="B32" s="90" t="s">
        <v>264</v>
      </c>
      <c r="C32" s="90" t="s">
        <v>265</v>
      </c>
      <c r="D32" s="90" t="s">
        <v>36</v>
      </c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 t="s">
        <v>55</v>
      </c>
      <c r="Z32" s="90" t="s">
        <v>353</v>
      </c>
      <c r="AA32" s="99">
        <v>45383</v>
      </c>
      <c r="AB32" s="90"/>
      <c r="AC32" s="99">
        <v>36041</v>
      </c>
      <c r="AD32" s="90" t="s">
        <v>356</v>
      </c>
      <c r="AE32" s="90" t="s">
        <v>39</v>
      </c>
      <c r="AF32" s="90">
        <v>0</v>
      </c>
      <c r="AG32" s="90" t="s">
        <v>251</v>
      </c>
    </row>
    <row r="33" spans="1:33" s="98" customFormat="1" ht="30" x14ac:dyDescent="0.25">
      <c r="A33" s="90">
        <v>324</v>
      </c>
      <c r="B33" s="90" t="s">
        <v>48</v>
      </c>
      <c r="C33" s="90" t="s">
        <v>49</v>
      </c>
      <c r="D33" s="90" t="s">
        <v>36</v>
      </c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 t="s">
        <v>37</v>
      </c>
      <c r="Z33" s="90">
        <v>4</v>
      </c>
      <c r="AA33" s="99">
        <v>32822</v>
      </c>
      <c r="AB33" s="99">
        <v>45807</v>
      </c>
      <c r="AC33" s="99">
        <v>23892</v>
      </c>
      <c r="AD33" s="90" t="s">
        <v>354</v>
      </c>
      <c r="AE33" s="90" t="s">
        <v>39</v>
      </c>
      <c r="AF33" s="90">
        <v>25</v>
      </c>
      <c r="AG33" s="90" t="s">
        <v>251</v>
      </c>
    </row>
    <row r="34" spans="1:33" s="98" customFormat="1" ht="30" x14ac:dyDescent="0.25">
      <c r="A34" s="90">
        <v>1673</v>
      </c>
      <c r="B34" s="90" t="s">
        <v>280</v>
      </c>
      <c r="C34" s="90" t="s">
        <v>42</v>
      </c>
      <c r="D34" s="90" t="s">
        <v>36</v>
      </c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 t="s">
        <v>37</v>
      </c>
      <c r="Z34" s="90" t="s">
        <v>357</v>
      </c>
      <c r="AA34" s="99">
        <v>45659</v>
      </c>
      <c r="AB34" s="90"/>
      <c r="AC34" s="99">
        <v>34686</v>
      </c>
      <c r="AD34" s="90" t="s">
        <v>356</v>
      </c>
      <c r="AE34" s="90" t="s">
        <v>39</v>
      </c>
      <c r="AF34" s="90">
        <v>0</v>
      </c>
      <c r="AG34" s="90" t="s">
        <v>251</v>
      </c>
    </row>
    <row r="35" spans="1:33" s="98" customFormat="1" ht="30" x14ac:dyDescent="0.25">
      <c r="A35" s="90">
        <v>1508</v>
      </c>
      <c r="B35" s="90" t="s">
        <v>230</v>
      </c>
      <c r="C35" s="90" t="s">
        <v>227</v>
      </c>
      <c r="D35" s="90" t="s">
        <v>36</v>
      </c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 t="s">
        <v>55</v>
      </c>
      <c r="Z35" s="90" t="s">
        <v>353</v>
      </c>
      <c r="AA35" s="99">
        <v>44896</v>
      </c>
      <c r="AB35" s="90"/>
      <c r="AC35" s="99">
        <v>32579</v>
      </c>
      <c r="AD35" s="90" t="s">
        <v>354</v>
      </c>
      <c r="AE35" s="90" t="s">
        <v>39</v>
      </c>
      <c r="AF35" s="90">
        <v>5</v>
      </c>
      <c r="AG35" s="90" t="s">
        <v>251</v>
      </c>
    </row>
    <row r="36" spans="1:33" s="98" customFormat="1" ht="30" x14ac:dyDescent="0.25">
      <c r="A36" s="90">
        <v>1451</v>
      </c>
      <c r="B36" s="90" t="s">
        <v>222</v>
      </c>
      <c r="C36" s="90" t="s">
        <v>223</v>
      </c>
      <c r="D36" s="90" t="s">
        <v>36</v>
      </c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 t="s">
        <v>55</v>
      </c>
      <c r="Z36" s="90" t="s">
        <v>356</v>
      </c>
      <c r="AA36" s="99">
        <v>44621</v>
      </c>
      <c r="AB36" s="90"/>
      <c r="AC36" s="99">
        <v>31884</v>
      </c>
      <c r="AD36" s="90" t="s">
        <v>354</v>
      </c>
      <c r="AE36" s="90" t="s">
        <v>39</v>
      </c>
      <c r="AF36" s="90">
        <v>5</v>
      </c>
      <c r="AG36" s="90" t="s">
        <v>251</v>
      </c>
    </row>
    <row r="37" spans="1:33" s="98" customFormat="1" ht="30" x14ac:dyDescent="0.25">
      <c r="A37" s="90">
        <v>1417</v>
      </c>
      <c r="B37" s="90" t="s">
        <v>216</v>
      </c>
      <c r="C37" s="90" t="s">
        <v>217</v>
      </c>
      <c r="D37" s="90" t="s">
        <v>36</v>
      </c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 t="s">
        <v>37</v>
      </c>
      <c r="Z37" s="90" t="s">
        <v>359</v>
      </c>
      <c r="AA37" s="99">
        <v>44515</v>
      </c>
      <c r="AB37" s="99">
        <v>45740</v>
      </c>
      <c r="AC37" s="99">
        <v>35130</v>
      </c>
      <c r="AD37" s="90" t="s">
        <v>356</v>
      </c>
      <c r="AE37" s="90" t="s">
        <v>39</v>
      </c>
      <c r="AF37" s="90">
        <v>5</v>
      </c>
      <c r="AG37" s="90" t="s">
        <v>251</v>
      </c>
    </row>
    <row r="38" spans="1:33" s="98" customFormat="1" ht="30" x14ac:dyDescent="0.25">
      <c r="A38" s="90">
        <v>1390</v>
      </c>
      <c r="B38" s="90" t="s">
        <v>209</v>
      </c>
      <c r="C38" s="90" t="s">
        <v>210</v>
      </c>
      <c r="D38" s="90" t="s">
        <v>36</v>
      </c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 t="s">
        <v>55</v>
      </c>
      <c r="Z38" s="90" t="s">
        <v>353</v>
      </c>
      <c r="AA38" s="99">
        <v>44105</v>
      </c>
      <c r="AB38" s="90"/>
      <c r="AC38" s="99">
        <v>35385</v>
      </c>
      <c r="AD38" s="90" t="s">
        <v>356</v>
      </c>
      <c r="AE38" s="90" t="s">
        <v>39</v>
      </c>
      <c r="AF38" s="90">
        <v>5</v>
      </c>
      <c r="AG38" s="90" t="s">
        <v>251</v>
      </c>
    </row>
    <row r="39" spans="1:33" s="98" customFormat="1" ht="30" x14ac:dyDescent="0.25">
      <c r="A39" s="90">
        <v>957</v>
      </c>
      <c r="B39" s="90" t="s">
        <v>166</v>
      </c>
      <c r="C39" s="90" t="s">
        <v>167</v>
      </c>
      <c r="D39" s="90" t="s">
        <v>36</v>
      </c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 t="s">
        <v>37</v>
      </c>
      <c r="Z39" s="90" t="s">
        <v>357</v>
      </c>
      <c r="AA39" s="99">
        <v>39264</v>
      </c>
      <c r="AB39" s="90"/>
      <c r="AC39" s="99">
        <v>31068</v>
      </c>
      <c r="AD39" s="90" t="s">
        <v>354</v>
      </c>
      <c r="AE39" s="90" t="s">
        <v>39</v>
      </c>
      <c r="AF39" s="90">
        <v>15</v>
      </c>
      <c r="AG39" s="90" t="s">
        <v>251</v>
      </c>
    </row>
    <row r="40" spans="1:33" s="98" customFormat="1" ht="30" x14ac:dyDescent="0.25">
      <c r="A40" s="90">
        <v>494</v>
      </c>
      <c r="B40" s="90" t="s">
        <v>132</v>
      </c>
      <c r="C40" s="90" t="s">
        <v>133</v>
      </c>
      <c r="D40" s="90" t="s">
        <v>36</v>
      </c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 t="s">
        <v>55</v>
      </c>
      <c r="Z40" s="90" t="s">
        <v>356</v>
      </c>
      <c r="AA40" s="99">
        <v>35996</v>
      </c>
      <c r="AB40" s="90"/>
      <c r="AC40" s="99">
        <v>26872</v>
      </c>
      <c r="AD40" s="90" t="s">
        <v>354</v>
      </c>
      <c r="AE40" s="90" t="s">
        <v>39</v>
      </c>
      <c r="AF40" s="90">
        <v>25</v>
      </c>
      <c r="AG40" s="90" t="s">
        <v>251</v>
      </c>
    </row>
    <row r="41" spans="1:33" s="98" customFormat="1" ht="30" x14ac:dyDescent="0.25">
      <c r="A41" s="90">
        <v>485</v>
      </c>
      <c r="B41" s="90" t="s">
        <v>122</v>
      </c>
      <c r="C41" s="90" t="s">
        <v>123</v>
      </c>
      <c r="D41" s="90" t="s">
        <v>36</v>
      </c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 t="s">
        <v>55</v>
      </c>
      <c r="Z41" s="90" t="s">
        <v>356</v>
      </c>
      <c r="AA41" s="99">
        <v>35996</v>
      </c>
      <c r="AB41" s="90"/>
      <c r="AC41" s="99">
        <v>24958</v>
      </c>
      <c r="AD41" s="90" t="s">
        <v>354</v>
      </c>
      <c r="AE41" s="90" t="s">
        <v>39</v>
      </c>
      <c r="AF41" s="90">
        <v>25</v>
      </c>
      <c r="AG41" s="90" t="s">
        <v>251</v>
      </c>
    </row>
    <row r="42" spans="1:33" s="98" customFormat="1" ht="30" x14ac:dyDescent="0.25">
      <c r="A42" s="90">
        <v>473</v>
      </c>
      <c r="B42" s="90" t="s">
        <v>113</v>
      </c>
      <c r="C42" s="90" t="s">
        <v>106</v>
      </c>
      <c r="D42" s="90" t="s">
        <v>36</v>
      </c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 t="s">
        <v>37</v>
      </c>
      <c r="Z42" s="90" t="s">
        <v>360</v>
      </c>
      <c r="AA42" s="99">
        <v>35996</v>
      </c>
      <c r="AB42" s="90"/>
      <c r="AC42" s="99">
        <v>24920</v>
      </c>
      <c r="AD42" s="90" t="s">
        <v>356</v>
      </c>
      <c r="AE42" s="90" t="s">
        <v>39</v>
      </c>
      <c r="AF42" s="90">
        <v>25</v>
      </c>
      <c r="AG42" s="90" t="s">
        <v>251</v>
      </c>
    </row>
    <row r="43" spans="1:33" s="98" customFormat="1" ht="30" x14ac:dyDescent="0.25">
      <c r="A43" s="90">
        <v>472</v>
      </c>
      <c r="B43" s="90" t="s">
        <v>112</v>
      </c>
      <c r="C43" s="90" t="s">
        <v>106</v>
      </c>
      <c r="D43" s="90" t="s">
        <v>36</v>
      </c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 t="s">
        <v>55</v>
      </c>
      <c r="Z43" s="90" t="s">
        <v>356</v>
      </c>
      <c r="AA43" s="99">
        <v>35996</v>
      </c>
      <c r="AB43" s="90"/>
      <c r="AC43" s="99">
        <v>24869</v>
      </c>
      <c r="AD43" s="90" t="s">
        <v>354</v>
      </c>
      <c r="AE43" s="90" t="s">
        <v>39</v>
      </c>
      <c r="AF43" s="90">
        <v>25</v>
      </c>
      <c r="AG43" s="90" t="s">
        <v>251</v>
      </c>
    </row>
    <row r="44" spans="1:33" s="98" customFormat="1" ht="30" x14ac:dyDescent="0.25">
      <c r="A44" s="90">
        <v>468</v>
      </c>
      <c r="B44" s="90" t="s">
        <v>107</v>
      </c>
      <c r="C44" s="90" t="s">
        <v>108</v>
      </c>
      <c r="D44" s="90" t="s">
        <v>36</v>
      </c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 t="s">
        <v>55</v>
      </c>
      <c r="Z44" s="90" t="s">
        <v>353</v>
      </c>
      <c r="AA44" s="99">
        <v>35996</v>
      </c>
      <c r="AB44" s="90"/>
      <c r="AC44" s="99">
        <v>24066</v>
      </c>
      <c r="AD44" s="90" t="s">
        <v>354</v>
      </c>
      <c r="AE44" s="90" t="s">
        <v>39</v>
      </c>
      <c r="AF44" s="90">
        <v>25</v>
      </c>
      <c r="AG44" s="90" t="s">
        <v>251</v>
      </c>
    </row>
    <row r="45" spans="1:33" s="98" customFormat="1" ht="30" x14ac:dyDescent="0.25">
      <c r="A45" s="90">
        <v>1360</v>
      </c>
      <c r="B45" s="90" t="s">
        <v>197</v>
      </c>
      <c r="C45" s="90" t="s">
        <v>42</v>
      </c>
      <c r="D45" s="90" t="s">
        <v>36</v>
      </c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 t="s">
        <v>55</v>
      </c>
      <c r="Z45" s="90" t="s">
        <v>356</v>
      </c>
      <c r="AA45" s="99">
        <v>43344</v>
      </c>
      <c r="AB45" s="90"/>
      <c r="AC45" s="99">
        <v>32388</v>
      </c>
      <c r="AD45" s="90" t="s">
        <v>354</v>
      </c>
      <c r="AE45" s="90" t="s">
        <v>39</v>
      </c>
      <c r="AF45" s="90">
        <v>10</v>
      </c>
      <c r="AG45" s="90" t="s">
        <v>251</v>
      </c>
    </row>
    <row r="46" spans="1:33" s="98" customFormat="1" ht="30" x14ac:dyDescent="0.25">
      <c r="A46" s="90">
        <v>1272</v>
      </c>
      <c r="B46" s="90" t="s">
        <v>190</v>
      </c>
      <c r="C46" s="90" t="s">
        <v>49</v>
      </c>
      <c r="D46" s="90" t="s">
        <v>36</v>
      </c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 t="s">
        <v>37</v>
      </c>
      <c r="Z46" s="90" t="s">
        <v>360</v>
      </c>
      <c r="AA46" s="99">
        <v>41353</v>
      </c>
      <c r="AB46" s="90"/>
      <c r="AC46" s="99">
        <v>32793</v>
      </c>
      <c r="AD46" s="90" t="s">
        <v>356</v>
      </c>
      <c r="AE46" s="90" t="s">
        <v>39</v>
      </c>
      <c r="AF46" s="90">
        <v>10</v>
      </c>
      <c r="AG46" s="90" t="s">
        <v>251</v>
      </c>
    </row>
    <row r="47" spans="1:33" s="98" customFormat="1" ht="30" x14ac:dyDescent="0.25">
      <c r="A47" s="90">
        <v>357</v>
      </c>
      <c r="B47" s="90" t="s">
        <v>73</v>
      </c>
      <c r="C47" s="90" t="s">
        <v>74</v>
      </c>
      <c r="D47" s="90" t="s">
        <v>36</v>
      </c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 t="s">
        <v>37</v>
      </c>
      <c r="Z47" s="90">
        <v>5</v>
      </c>
      <c r="AA47" s="99">
        <v>33288</v>
      </c>
      <c r="AB47" s="90"/>
      <c r="AC47" s="99">
        <v>24627</v>
      </c>
      <c r="AD47" s="90" t="s">
        <v>354</v>
      </c>
      <c r="AE47" s="90" t="s">
        <v>39</v>
      </c>
      <c r="AF47" s="90">
        <v>25</v>
      </c>
      <c r="AG47" s="90" t="s">
        <v>251</v>
      </c>
    </row>
    <row r="48" spans="1:33" s="98" customFormat="1" ht="30" x14ac:dyDescent="0.25">
      <c r="A48" s="90">
        <v>356</v>
      </c>
      <c r="B48" s="90" t="s">
        <v>72</v>
      </c>
      <c r="C48" s="90" t="s">
        <v>46</v>
      </c>
      <c r="D48" s="90" t="s">
        <v>36</v>
      </c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 t="s">
        <v>37</v>
      </c>
      <c r="Z48" s="90">
        <v>4</v>
      </c>
      <c r="AA48" s="99">
        <v>33287</v>
      </c>
      <c r="AB48" s="90"/>
      <c r="AC48" s="99">
        <v>25263</v>
      </c>
      <c r="AD48" s="90" t="s">
        <v>354</v>
      </c>
      <c r="AE48" s="90" t="s">
        <v>39</v>
      </c>
      <c r="AF48" s="90">
        <v>25</v>
      </c>
      <c r="AG48" s="90" t="s">
        <v>251</v>
      </c>
    </row>
    <row r="49" spans="1:33" s="98" customFormat="1" ht="30" x14ac:dyDescent="0.25">
      <c r="A49" s="90">
        <v>469</v>
      </c>
      <c r="B49" s="90" t="s">
        <v>107</v>
      </c>
      <c r="C49" s="90" t="s">
        <v>106</v>
      </c>
      <c r="D49" s="90" t="s">
        <v>36</v>
      </c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 t="s">
        <v>55</v>
      </c>
      <c r="Z49" s="90" t="s">
        <v>356</v>
      </c>
      <c r="AA49" s="99">
        <v>35996</v>
      </c>
      <c r="AB49" s="90"/>
      <c r="AC49" s="99">
        <v>25246</v>
      </c>
      <c r="AD49" s="90" t="s">
        <v>354</v>
      </c>
      <c r="AE49" s="90" t="s">
        <v>39</v>
      </c>
      <c r="AF49" s="90">
        <v>25</v>
      </c>
      <c r="AG49" s="90" t="s">
        <v>251</v>
      </c>
    </row>
    <row r="50" spans="1:33" s="98" customFormat="1" ht="30" x14ac:dyDescent="0.25">
      <c r="A50" s="90">
        <v>471</v>
      </c>
      <c r="B50" s="90" t="s">
        <v>111</v>
      </c>
      <c r="C50" s="90" t="s">
        <v>99</v>
      </c>
      <c r="D50" s="90" t="s">
        <v>36</v>
      </c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 t="s">
        <v>37</v>
      </c>
      <c r="Z50" s="90" t="s">
        <v>357</v>
      </c>
      <c r="AA50" s="99">
        <v>35996</v>
      </c>
      <c r="AB50" s="90"/>
      <c r="AC50" s="99">
        <v>28446</v>
      </c>
      <c r="AD50" s="90" t="s">
        <v>354</v>
      </c>
      <c r="AE50" s="90" t="s">
        <v>39</v>
      </c>
      <c r="AF50" s="90">
        <v>25</v>
      </c>
      <c r="AG50" s="90" t="s">
        <v>251</v>
      </c>
    </row>
    <row r="51" spans="1:33" s="98" customFormat="1" ht="30" x14ac:dyDescent="0.25">
      <c r="A51" s="90">
        <v>476</v>
      </c>
      <c r="B51" s="90" t="s">
        <v>115</v>
      </c>
      <c r="C51" s="90" t="s">
        <v>42</v>
      </c>
      <c r="D51" s="90" t="s">
        <v>36</v>
      </c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 t="s">
        <v>55</v>
      </c>
      <c r="Z51" s="90" t="s">
        <v>356</v>
      </c>
      <c r="AA51" s="99">
        <v>35996</v>
      </c>
      <c r="AB51" s="90"/>
      <c r="AC51" s="99">
        <v>27356</v>
      </c>
      <c r="AD51" s="90" t="s">
        <v>354</v>
      </c>
      <c r="AE51" s="90" t="s">
        <v>39</v>
      </c>
      <c r="AF51" s="90">
        <v>25</v>
      </c>
      <c r="AG51" s="90" t="s">
        <v>251</v>
      </c>
    </row>
    <row r="52" spans="1:33" s="98" customFormat="1" ht="30" x14ac:dyDescent="0.25">
      <c r="A52" s="90">
        <v>479</v>
      </c>
      <c r="B52" s="90" t="s">
        <v>118</v>
      </c>
      <c r="C52" s="90" t="s">
        <v>119</v>
      </c>
      <c r="D52" s="90" t="s">
        <v>36</v>
      </c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 t="s">
        <v>55</v>
      </c>
      <c r="Z52" s="90" t="s">
        <v>356</v>
      </c>
      <c r="AA52" s="99">
        <v>35996</v>
      </c>
      <c r="AB52" s="90"/>
      <c r="AC52" s="99">
        <v>26337</v>
      </c>
      <c r="AD52" s="90" t="s">
        <v>354</v>
      </c>
      <c r="AE52" s="90" t="s">
        <v>39</v>
      </c>
      <c r="AF52" s="90">
        <v>25</v>
      </c>
      <c r="AG52" s="90" t="s">
        <v>251</v>
      </c>
    </row>
    <row r="53" spans="1:33" s="98" customFormat="1" ht="30" x14ac:dyDescent="0.25">
      <c r="A53" s="90">
        <v>480</v>
      </c>
      <c r="B53" s="90" t="s">
        <v>120</v>
      </c>
      <c r="C53" s="90" t="s">
        <v>84</v>
      </c>
      <c r="D53" s="90" t="s">
        <v>36</v>
      </c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 t="s">
        <v>55</v>
      </c>
      <c r="Z53" s="90" t="s">
        <v>356</v>
      </c>
      <c r="AA53" s="99">
        <v>35996</v>
      </c>
      <c r="AB53" s="90"/>
      <c r="AC53" s="99">
        <v>26849</v>
      </c>
      <c r="AD53" s="90" t="s">
        <v>354</v>
      </c>
      <c r="AE53" s="90" t="s">
        <v>39</v>
      </c>
      <c r="AF53" s="90">
        <v>25</v>
      </c>
      <c r="AG53" s="90" t="s">
        <v>251</v>
      </c>
    </row>
    <row r="54" spans="1:33" s="98" customFormat="1" ht="30" x14ac:dyDescent="0.25">
      <c r="A54" s="90">
        <v>487</v>
      </c>
      <c r="B54" s="90" t="s">
        <v>124</v>
      </c>
      <c r="C54" s="90" t="s">
        <v>125</v>
      </c>
      <c r="D54" s="90" t="s">
        <v>36</v>
      </c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 t="s">
        <v>55</v>
      </c>
      <c r="Z54" s="90" t="s">
        <v>356</v>
      </c>
      <c r="AA54" s="99">
        <v>35996</v>
      </c>
      <c r="AB54" s="90"/>
      <c r="AC54" s="99">
        <v>25019</v>
      </c>
      <c r="AD54" s="90" t="s">
        <v>354</v>
      </c>
      <c r="AE54" s="90" t="s">
        <v>39</v>
      </c>
      <c r="AF54" s="90">
        <v>25</v>
      </c>
      <c r="AG54" s="90" t="s">
        <v>251</v>
      </c>
    </row>
    <row r="55" spans="1:33" s="98" customFormat="1" ht="30" x14ac:dyDescent="0.25">
      <c r="A55" s="90">
        <v>492</v>
      </c>
      <c r="B55" s="90" t="s">
        <v>129</v>
      </c>
      <c r="C55" s="90" t="s">
        <v>58</v>
      </c>
      <c r="D55" s="90" t="s">
        <v>36</v>
      </c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 t="s">
        <v>37</v>
      </c>
      <c r="Z55" s="90" t="s">
        <v>357</v>
      </c>
      <c r="AA55" s="99">
        <v>35996</v>
      </c>
      <c r="AB55" s="90"/>
      <c r="AC55" s="99">
        <v>27837</v>
      </c>
      <c r="AD55" s="90" t="s">
        <v>354</v>
      </c>
      <c r="AE55" s="90" t="s">
        <v>39</v>
      </c>
      <c r="AF55" s="90">
        <v>25</v>
      </c>
      <c r="AG55" s="90" t="s">
        <v>251</v>
      </c>
    </row>
    <row r="56" spans="1:33" s="98" customFormat="1" ht="30" x14ac:dyDescent="0.25">
      <c r="A56" s="90">
        <v>497</v>
      </c>
      <c r="B56" s="90" t="s">
        <v>137</v>
      </c>
      <c r="C56" s="90" t="s">
        <v>138</v>
      </c>
      <c r="D56" s="90" t="s">
        <v>36</v>
      </c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 t="s">
        <v>55</v>
      </c>
      <c r="Z56" s="90" t="s">
        <v>356</v>
      </c>
      <c r="AA56" s="99">
        <v>35996</v>
      </c>
      <c r="AB56" s="90"/>
      <c r="AC56" s="99">
        <v>26361</v>
      </c>
      <c r="AD56" s="90" t="s">
        <v>356</v>
      </c>
      <c r="AE56" s="90" t="s">
        <v>39</v>
      </c>
      <c r="AF56" s="90">
        <v>25</v>
      </c>
      <c r="AG56" s="90" t="s">
        <v>251</v>
      </c>
    </row>
    <row r="57" spans="1:33" s="98" customFormat="1" ht="30" x14ac:dyDescent="0.25">
      <c r="A57" s="90">
        <v>510</v>
      </c>
      <c r="B57" s="90" t="s">
        <v>148</v>
      </c>
      <c r="C57" s="90" t="s">
        <v>84</v>
      </c>
      <c r="D57" s="90" t="s">
        <v>36</v>
      </c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 t="s">
        <v>37</v>
      </c>
      <c r="Z57" s="90" t="s">
        <v>360</v>
      </c>
      <c r="AA57" s="99">
        <v>36395</v>
      </c>
      <c r="AB57" s="90"/>
      <c r="AC57" s="99">
        <v>28607</v>
      </c>
      <c r="AD57" s="90" t="s">
        <v>354</v>
      </c>
      <c r="AE57" s="90" t="s">
        <v>39</v>
      </c>
      <c r="AF57" s="90">
        <v>25</v>
      </c>
      <c r="AG57" s="90" t="s">
        <v>251</v>
      </c>
    </row>
    <row r="58" spans="1:33" s="98" customFormat="1" ht="30" x14ac:dyDescent="0.25">
      <c r="A58" s="90">
        <v>511</v>
      </c>
      <c r="B58" s="90" t="s">
        <v>150</v>
      </c>
      <c r="C58" s="90" t="s">
        <v>151</v>
      </c>
      <c r="D58" s="90" t="s">
        <v>36</v>
      </c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 t="s">
        <v>55</v>
      </c>
      <c r="Z58" s="90" t="s">
        <v>356</v>
      </c>
      <c r="AA58" s="99">
        <v>36466</v>
      </c>
      <c r="AB58" s="90"/>
      <c r="AC58" s="99">
        <v>26515</v>
      </c>
      <c r="AD58" s="90" t="s">
        <v>354</v>
      </c>
      <c r="AE58" s="90" t="s">
        <v>39</v>
      </c>
      <c r="AF58" s="90">
        <v>25</v>
      </c>
      <c r="AG58" s="90" t="s">
        <v>251</v>
      </c>
    </row>
    <row r="59" spans="1:33" s="98" customFormat="1" ht="30" x14ac:dyDescent="0.25">
      <c r="A59" s="90">
        <v>1389</v>
      </c>
      <c r="B59" s="90" t="s">
        <v>207</v>
      </c>
      <c r="C59" s="90" t="s">
        <v>208</v>
      </c>
      <c r="D59" s="90" t="s">
        <v>36</v>
      </c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 t="s">
        <v>55</v>
      </c>
      <c r="Z59" s="90" t="s">
        <v>356</v>
      </c>
      <c r="AA59" s="99">
        <v>44105</v>
      </c>
      <c r="AB59" s="90"/>
      <c r="AC59" s="99">
        <v>30638</v>
      </c>
      <c r="AD59" s="90" t="s">
        <v>357</v>
      </c>
      <c r="AE59" s="90" t="s">
        <v>39</v>
      </c>
      <c r="AF59" s="90">
        <v>5</v>
      </c>
      <c r="AG59" s="90" t="s">
        <v>251</v>
      </c>
    </row>
    <row r="60" spans="1:33" s="98" customFormat="1" ht="30" x14ac:dyDescent="0.25">
      <c r="A60" s="90">
        <v>1416</v>
      </c>
      <c r="B60" s="90" t="s">
        <v>214</v>
      </c>
      <c r="C60" s="90" t="s">
        <v>215</v>
      </c>
      <c r="D60" s="90" t="s">
        <v>36</v>
      </c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 t="s">
        <v>55</v>
      </c>
      <c r="Z60" s="90" t="s">
        <v>353</v>
      </c>
      <c r="AA60" s="99">
        <v>44501</v>
      </c>
      <c r="AB60" s="99">
        <v>45880</v>
      </c>
      <c r="AC60" s="99">
        <v>34417</v>
      </c>
      <c r="AD60" s="90" t="s">
        <v>356</v>
      </c>
      <c r="AE60" s="90" t="s">
        <v>39</v>
      </c>
      <c r="AF60" s="90">
        <v>5</v>
      </c>
      <c r="AG60" s="90" t="s">
        <v>251</v>
      </c>
    </row>
    <row r="61" spans="1:33" s="98" customFormat="1" ht="30" x14ac:dyDescent="0.25">
      <c r="A61" s="90">
        <v>1457</v>
      </c>
      <c r="B61" s="90" t="s">
        <v>224</v>
      </c>
      <c r="C61" s="90" t="s">
        <v>225</v>
      </c>
      <c r="D61" s="90" t="s">
        <v>36</v>
      </c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 t="s">
        <v>37</v>
      </c>
      <c r="Z61" s="90" t="s">
        <v>357</v>
      </c>
      <c r="AA61" s="99">
        <v>44652</v>
      </c>
      <c r="AB61" s="90"/>
      <c r="AC61" s="99">
        <v>36056</v>
      </c>
      <c r="AD61" s="90" t="s">
        <v>356</v>
      </c>
      <c r="AE61" s="90" t="s">
        <v>39</v>
      </c>
      <c r="AF61" s="90">
        <v>5</v>
      </c>
      <c r="AG61" s="90" t="s">
        <v>251</v>
      </c>
    </row>
    <row r="62" spans="1:33" s="98" customFormat="1" ht="30" x14ac:dyDescent="0.25">
      <c r="A62" s="90">
        <v>596</v>
      </c>
      <c r="B62" s="90" t="s">
        <v>155</v>
      </c>
      <c r="C62" s="90" t="s">
        <v>42</v>
      </c>
      <c r="D62" s="90" t="s">
        <v>36</v>
      </c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 t="s">
        <v>55</v>
      </c>
      <c r="Z62" s="90" t="s">
        <v>356</v>
      </c>
      <c r="AA62" s="99">
        <v>37459</v>
      </c>
      <c r="AB62" s="90"/>
      <c r="AC62" s="99">
        <v>29479</v>
      </c>
      <c r="AD62" s="90" t="s">
        <v>354</v>
      </c>
      <c r="AE62" s="90" t="s">
        <v>39</v>
      </c>
      <c r="AF62" s="90">
        <v>20</v>
      </c>
      <c r="AG62" s="90" t="s">
        <v>251</v>
      </c>
    </row>
    <row r="63" spans="1:33" s="98" customFormat="1" ht="30" x14ac:dyDescent="0.25">
      <c r="A63" s="90">
        <v>1515</v>
      </c>
      <c r="B63" s="90" t="s">
        <v>234</v>
      </c>
      <c r="C63" s="90" t="s">
        <v>125</v>
      </c>
      <c r="D63" s="90" t="s">
        <v>36</v>
      </c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 t="s">
        <v>55</v>
      </c>
      <c r="Z63" s="90" t="s">
        <v>356</v>
      </c>
      <c r="AA63" s="99">
        <v>44928</v>
      </c>
      <c r="AB63" s="90"/>
      <c r="AC63" s="99">
        <v>33505</v>
      </c>
      <c r="AD63" s="90" t="s">
        <v>354</v>
      </c>
      <c r="AE63" s="90" t="s">
        <v>39</v>
      </c>
      <c r="AF63" s="90">
        <v>5</v>
      </c>
      <c r="AG63" s="90" t="s">
        <v>251</v>
      </c>
    </row>
    <row r="64" spans="1:33" s="98" customFormat="1" ht="30" x14ac:dyDescent="0.25">
      <c r="A64" s="90">
        <v>1632</v>
      </c>
      <c r="B64" s="90" t="s">
        <v>270</v>
      </c>
      <c r="C64" s="90" t="s">
        <v>271</v>
      </c>
      <c r="D64" s="90" t="s">
        <v>36</v>
      </c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 t="s">
        <v>55</v>
      </c>
      <c r="Z64" s="90" t="s">
        <v>356</v>
      </c>
      <c r="AA64" s="99">
        <v>45383</v>
      </c>
      <c r="AB64" s="90"/>
      <c r="AC64" s="99">
        <v>36909</v>
      </c>
      <c r="AD64" s="90" t="s">
        <v>356</v>
      </c>
      <c r="AE64" s="90" t="s">
        <v>39</v>
      </c>
      <c r="AF64" s="90">
        <v>0</v>
      </c>
      <c r="AG64" s="90" t="s">
        <v>251</v>
      </c>
    </row>
    <row r="65" spans="1:33" s="98" customFormat="1" ht="30" x14ac:dyDescent="0.25">
      <c r="A65" s="90">
        <v>1198</v>
      </c>
      <c r="B65" s="90" t="s">
        <v>178</v>
      </c>
      <c r="C65" s="90" t="s">
        <v>179</v>
      </c>
      <c r="D65" s="90" t="s">
        <v>36</v>
      </c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 t="s">
        <v>37</v>
      </c>
      <c r="Z65" s="90" t="s">
        <v>357</v>
      </c>
      <c r="AA65" s="99">
        <v>40452</v>
      </c>
      <c r="AB65" s="90"/>
      <c r="AC65" s="99">
        <v>31999</v>
      </c>
      <c r="AD65" s="90" t="s">
        <v>354</v>
      </c>
      <c r="AE65" s="90" t="s">
        <v>221</v>
      </c>
      <c r="AF65" s="90">
        <v>15</v>
      </c>
      <c r="AG65" s="90" t="s">
        <v>251</v>
      </c>
    </row>
    <row r="66" spans="1:33" s="98" customFormat="1" ht="30" x14ac:dyDescent="0.25">
      <c r="A66" s="90">
        <v>1204</v>
      </c>
      <c r="B66" s="90" t="s">
        <v>181</v>
      </c>
      <c r="C66" s="90" t="s">
        <v>182</v>
      </c>
      <c r="D66" s="90" t="s">
        <v>36</v>
      </c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 t="s">
        <v>55</v>
      </c>
      <c r="Z66" s="90" t="s">
        <v>353</v>
      </c>
      <c r="AA66" s="99">
        <v>40513</v>
      </c>
      <c r="AB66" s="90"/>
      <c r="AC66" s="99">
        <v>31666</v>
      </c>
      <c r="AD66" s="90" t="s">
        <v>354</v>
      </c>
      <c r="AE66" s="90" t="s">
        <v>39</v>
      </c>
      <c r="AF66" s="90">
        <v>15</v>
      </c>
      <c r="AG66" s="90" t="s">
        <v>251</v>
      </c>
    </row>
    <row r="67" spans="1:33" s="98" customFormat="1" ht="30" x14ac:dyDescent="0.25">
      <c r="A67" s="90">
        <v>1299</v>
      </c>
      <c r="B67" s="90" t="s">
        <v>193</v>
      </c>
      <c r="C67" s="90" t="s">
        <v>140</v>
      </c>
      <c r="D67" s="90" t="s">
        <v>36</v>
      </c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 t="s">
        <v>37</v>
      </c>
      <c r="Z67" s="90" t="s">
        <v>360</v>
      </c>
      <c r="AA67" s="99">
        <v>42310</v>
      </c>
      <c r="AB67" s="99">
        <v>45838</v>
      </c>
      <c r="AC67" s="99">
        <v>31065</v>
      </c>
      <c r="AD67" s="90" t="s">
        <v>354</v>
      </c>
      <c r="AE67" s="90" t="s">
        <v>39</v>
      </c>
      <c r="AF67" s="90">
        <v>10</v>
      </c>
      <c r="AG67" s="90" t="s">
        <v>251</v>
      </c>
    </row>
    <row r="68" spans="1:33" s="98" customFormat="1" ht="30" x14ac:dyDescent="0.25">
      <c r="A68" s="90">
        <v>1271</v>
      </c>
      <c r="B68" s="90" t="s">
        <v>362</v>
      </c>
      <c r="C68" s="90" t="s">
        <v>42</v>
      </c>
      <c r="D68" s="90" t="s">
        <v>36</v>
      </c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 t="s">
        <v>55</v>
      </c>
      <c r="Z68" s="90" t="s">
        <v>356</v>
      </c>
      <c r="AA68" s="99">
        <v>41353</v>
      </c>
      <c r="AB68" s="90"/>
      <c r="AC68" s="99">
        <v>32205</v>
      </c>
      <c r="AD68" s="90" t="s">
        <v>354</v>
      </c>
      <c r="AE68" s="90" t="s">
        <v>39</v>
      </c>
      <c r="AF68" s="90">
        <v>10</v>
      </c>
      <c r="AG68" s="90" t="s">
        <v>251</v>
      </c>
    </row>
    <row r="69" spans="1:33" s="98" customFormat="1" ht="30" x14ac:dyDescent="0.25">
      <c r="A69" s="90">
        <v>887</v>
      </c>
      <c r="B69" s="90" t="s">
        <v>165</v>
      </c>
      <c r="C69" s="90" t="s">
        <v>140</v>
      </c>
      <c r="D69" s="90" t="s">
        <v>36</v>
      </c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 t="s">
        <v>55</v>
      </c>
      <c r="Z69" s="90" t="s">
        <v>353</v>
      </c>
      <c r="AA69" s="99">
        <v>38964</v>
      </c>
      <c r="AB69" s="90"/>
      <c r="AC69" s="99">
        <v>28477</v>
      </c>
      <c r="AD69" s="90" t="s">
        <v>354</v>
      </c>
      <c r="AE69" s="90" t="s">
        <v>39</v>
      </c>
      <c r="AF69" s="90">
        <v>15</v>
      </c>
      <c r="AG69" s="90" t="s">
        <v>251</v>
      </c>
    </row>
    <row r="70" spans="1:33" s="98" customFormat="1" ht="30" x14ac:dyDescent="0.25">
      <c r="A70" s="90">
        <v>824</v>
      </c>
      <c r="B70" s="90" t="s">
        <v>163</v>
      </c>
      <c r="C70" s="90" t="s">
        <v>164</v>
      </c>
      <c r="D70" s="90" t="s">
        <v>36</v>
      </c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 t="s">
        <v>37</v>
      </c>
      <c r="Z70" s="90" t="s">
        <v>360</v>
      </c>
      <c r="AA70" s="99">
        <v>38719</v>
      </c>
      <c r="AB70" s="90"/>
      <c r="AC70" s="99">
        <v>30230</v>
      </c>
      <c r="AD70" s="90" t="s">
        <v>354</v>
      </c>
      <c r="AE70" s="90" t="s">
        <v>39</v>
      </c>
      <c r="AF70" s="90">
        <v>15</v>
      </c>
      <c r="AG70" s="90" t="s">
        <v>251</v>
      </c>
    </row>
    <row r="71" spans="1:33" s="98" customFormat="1" ht="30" x14ac:dyDescent="0.25">
      <c r="A71" s="90">
        <v>819</v>
      </c>
      <c r="B71" s="90" t="s">
        <v>158</v>
      </c>
      <c r="C71" s="90" t="s">
        <v>159</v>
      </c>
      <c r="D71" s="90" t="s">
        <v>36</v>
      </c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 t="s">
        <v>37</v>
      </c>
      <c r="Z71" s="90" t="s">
        <v>360</v>
      </c>
      <c r="AA71" s="99">
        <v>38719</v>
      </c>
      <c r="AB71" s="90"/>
      <c r="AC71" s="99">
        <v>31379</v>
      </c>
      <c r="AD71" s="90" t="s">
        <v>354</v>
      </c>
      <c r="AE71" s="90" t="s">
        <v>39</v>
      </c>
      <c r="AF71" s="90">
        <v>15</v>
      </c>
      <c r="AG71" s="90" t="s">
        <v>251</v>
      </c>
    </row>
    <row r="72" spans="1:33" s="98" customFormat="1" ht="30" x14ac:dyDescent="0.25">
      <c r="A72" s="90">
        <v>380</v>
      </c>
      <c r="B72" s="90" t="s">
        <v>88</v>
      </c>
      <c r="C72" s="90" t="s">
        <v>89</v>
      </c>
      <c r="D72" s="90" t="s">
        <v>36</v>
      </c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 t="s">
        <v>55</v>
      </c>
      <c r="Z72" s="90">
        <v>9</v>
      </c>
      <c r="AA72" s="99">
        <v>33953</v>
      </c>
      <c r="AB72" s="90"/>
      <c r="AC72" s="99">
        <v>26109</v>
      </c>
      <c r="AD72" s="90" t="s">
        <v>354</v>
      </c>
      <c r="AE72" s="90" t="s">
        <v>39</v>
      </c>
      <c r="AF72" s="90">
        <v>25</v>
      </c>
      <c r="AG72" s="90" t="s">
        <v>251</v>
      </c>
    </row>
    <row r="73" spans="1:33" s="98" customFormat="1" ht="30" x14ac:dyDescent="0.25">
      <c r="A73" s="90">
        <v>368</v>
      </c>
      <c r="B73" s="90" t="s">
        <v>83</v>
      </c>
      <c r="C73" s="90" t="s">
        <v>84</v>
      </c>
      <c r="D73" s="90" t="s">
        <v>36</v>
      </c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 t="s">
        <v>37</v>
      </c>
      <c r="Z73" s="90">
        <v>2</v>
      </c>
      <c r="AA73" s="99">
        <v>33637</v>
      </c>
      <c r="AB73" s="90"/>
      <c r="AC73" s="99">
        <v>25369</v>
      </c>
      <c r="AD73" s="90" t="s">
        <v>354</v>
      </c>
      <c r="AE73" s="90" t="s">
        <v>39</v>
      </c>
      <c r="AF73" s="90">
        <v>25</v>
      </c>
      <c r="AG73" s="90" t="s">
        <v>251</v>
      </c>
    </row>
    <row r="74" spans="1:33" s="98" customFormat="1" ht="30" x14ac:dyDescent="0.25">
      <c r="A74" s="90">
        <v>364</v>
      </c>
      <c r="B74" s="90" t="s">
        <v>78</v>
      </c>
      <c r="C74" s="90" t="s">
        <v>79</v>
      </c>
      <c r="D74" s="90" t="s">
        <v>36</v>
      </c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 t="s">
        <v>55</v>
      </c>
      <c r="Z74" s="90">
        <v>9</v>
      </c>
      <c r="AA74" s="99">
        <v>33589</v>
      </c>
      <c r="AB74" s="90"/>
      <c r="AC74" s="99">
        <v>25498</v>
      </c>
      <c r="AD74" s="90" t="s">
        <v>354</v>
      </c>
      <c r="AE74" s="90" t="s">
        <v>39</v>
      </c>
      <c r="AF74" s="90">
        <v>25</v>
      </c>
      <c r="AG74" s="90" t="s">
        <v>251</v>
      </c>
    </row>
    <row r="75" spans="1:33" s="98" customFormat="1" ht="30" x14ac:dyDescent="0.25">
      <c r="A75" s="90">
        <v>363</v>
      </c>
      <c r="B75" s="90" t="s">
        <v>76</v>
      </c>
      <c r="C75" s="90" t="s">
        <v>77</v>
      </c>
      <c r="D75" s="90" t="s">
        <v>36</v>
      </c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 t="s">
        <v>55</v>
      </c>
      <c r="Z75" s="90">
        <v>9</v>
      </c>
      <c r="AA75" s="99">
        <v>33525</v>
      </c>
      <c r="AB75" s="99">
        <v>45826</v>
      </c>
      <c r="AC75" s="99">
        <v>23911</v>
      </c>
      <c r="AD75" s="90" t="s">
        <v>354</v>
      </c>
      <c r="AE75" s="90" t="s">
        <v>39</v>
      </c>
      <c r="AF75" s="90">
        <v>25</v>
      </c>
      <c r="AG75" s="90" t="s">
        <v>251</v>
      </c>
    </row>
    <row r="76" spans="1:33" s="98" customFormat="1" ht="30" x14ac:dyDescent="0.25">
      <c r="A76" s="90">
        <v>355</v>
      </c>
      <c r="B76" s="90" t="s">
        <v>69</v>
      </c>
      <c r="C76" s="90" t="s">
        <v>70</v>
      </c>
      <c r="D76" s="90" t="s">
        <v>36</v>
      </c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 t="s">
        <v>37</v>
      </c>
      <c r="Z76" s="90">
        <v>5</v>
      </c>
      <c r="AA76" s="99">
        <v>33246</v>
      </c>
      <c r="AB76" s="90"/>
      <c r="AC76" s="99">
        <v>24324</v>
      </c>
      <c r="AD76" s="90" t="s">
        <v>354</v>
      </c>
      <c r="AE76" s="90" t="s">
        <v>39</v>
      </c>
      <c r="AF76" s="90">
        <v>25</v>
      </c>
      <c r="AG76" s="90" t="s">
        <v>251</v>
      </c>
    </row>
    <row r="77" spans="1:33" s="98" customFormat="1" ht="30" x14ac:dyDescent="0.25">
      <c r="A77" s="90">
        <v>341</v>
      </c>
      <c r="B77" s="90" t="s">
        <v>60</v>
      </c>
      <c r="C77" s="90" t="s">
        <v>61</v>
      </c>
      <c r="D77" s="90" t="s">
        <v>36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 t="s">
        <v>55</v>
      </c>
      <c r="Z77" s="90">
        <v>10</v>
      </c>
      <c r="AA77" s="99">
        <v>33072</v>
      </c>
      <c r="AB77" s="90"/>
      <c r="AC77" s="99">
        <v>24439</v>
      </c>
      <c r="AD77" s="90" t="s">
        <v>354</v>
      </c>
      <c r="AE77" s="90" t="s">
        <v>39</v>
      </c>
      <c r="AF77" s="90">
        <v>25</v>
      </c>
      <c r="AG77" s="90" t="s">
        <v>251</v>
      </c>
    </row>
    <row r="78" spans="1:33" s="98" customFormat="1" ht="30" x14ac:dyDescent="0.25">
      <c r="A78" s="90">
        <v>338</v>
      </c>
      <c r="B78" s="90" t="s">
        <v>59</v>
      </c>
      <c r="C78" s="90" t="s">
        <v>52</v>
      </c>
      <c r="D78" s="90" t="s">
        <v>36</v>
      </c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 t="s">
        <v>37</v>
      </c>
      <c r="Z78" s="90">
        <v>4</v>
      </c>
      <c r="AA78" s="99">
        <v>33001</v>
      </c>
      <c r="AB78" s="90"/>
      <c r="AC78" s="99">
        <v>24284</v>
      </c>
      <c r="AD78" s="90" t="s">
        <v>354</v>
      </c>
      <c r="AE78" s="90" t="s">
        <v>39</v>
      </c>
      <c r="AF78" s="90">
        <v>25</v>
      </c>
      <c r="AG78" s="90" t="s">
        <v>251</v>
      </c>
    </row>
    <row r="79" spans="1:33" s="98" customFormat="1" ht="30" x14ac:dyDescent="0.25">
      <c r="A79" s="90">
        <v>588</v>
      </c>
      <c r="B79" s="90" t="s">
        <v>153</v>
      </c>
      <c r="C79" s="90" t="s">
        <v>363</v>
      </c>
      <c r="D79" s="90" t="s">
        <v>36</v>
      </c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 t="s">
        <v>37</v>
      </c>
      <c r="Z79" s="90" t="s">
        <v>360</v>
      </c>
      <c r="AA79" s="99">
        <v>37396</v>
      </c>
      <c r="AB79" s="90"/>
      <c r="AC79" s="99">
        <v>28889</v>
      </c>
      <c r="AD79" s="90" t="s">
        <v>354</v>
      </c>
      <c r="AE79" s="90" t="s">
        <v>39</v>
      </c>
      <c r="AF79" s="90">
        <v>20</v>
      </c>
      <c r="AG79" s="90" t="s">
        <v>251</v>
      </c>
    </row>
    <row r="80" spans="1:33" s="98" customFormat="1" ht="30" x14ac:dyDescent="0.25">
      <c r="A80" s="90">
        <v>1078</v>
      </c>
      <c r="B80" s="90" t="s">
        <v>170</v>
      </c>
      <c r="C80" s="90" t="s">
        <v>140</v>
      </c>
      <c r="D80" s="90" t="s">
        <v>36</v>
      </c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 t="s">
        <v>37</v>
      </c>
      <c r="Z80" s="90" t="s">
        <v>360</v>
      </c>
      <c r="AA80" s="99">
        <v>39853</v>
      </c>
      <c r="AB80" s="90"/>
      <c r="AC80" s="99">
        <v>30838</v>
      </c>
      <c r="AD80" s="90" t="s">
        <v>354</v>
      </c>
      <c r="AE80" s="90" t="s">
        <v>39</v>
      </c>
      <c r="AF80" s="90">
        <v>15</v>
      </c>
      <c r="AG80" s="90" t="s">
        <v>251</v>
      </c>
    </row>
    <row r="81" spans="1:33" s="98" customFormat="1" ht="30" x14ac:dyDescent="0.25">
      <c r="A81" s="90">
        <v>1571</v>
      </c>
      <c r="B81" s="90" t="s">
        <v>256</v>
      </c>
      <c r="C81" s="90" t="s">
        <v>257</v>
      </c>
      <c r="D81" s="90" t="s">
        <v>36</v>
      </c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 t="s">
        <v>37</v>
      </c>
      <c r="Z81" s="90" t="s">
        <v>357</v>
      </c>
      <c r="AA81" s="99">
        <v>45201</v>
      </c>
      <c r="AB81" s="90"/>
      <c r="AC81" s="99">
        <v>32422</v>
      </c>
      <c r="AD81" s="90" t="s">
        <v>356</v>
      </c>
      <c r="AE81" s="90" t="s">
        <v>39</v>
      </c>
      <c r="AF81" s="90">
        <v>0</v>
      </c>
      <c r="AG81" s="90" t="s">
        <v>251</v>
      </c>
    </row>
    <row r="82" spans="1:33" s="98" customFormat="1" ht="30" x14ac:dyDescent="0.25">
      <c r="A82" s="90">
        <v>1578</v>
      </c>
      <c r="B82" s="90" t="s">
        <v>258</v>
      </c>
      <c r="C82" s="90" t="s">
        <v>259</v>
      </c>
      <c r="D82" s="90" t="s">
        <v>36</v>
      </c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 t="s">
        <v>55</v>
      </c>
      <c r="Z82" s="90" t="s">
        <v>356</v>
      </c>
      <c r="AA82" s="99">
        <v>45243</v>
      </c>
      <c r="AB82" s="90"/>
      <c r="AC82" s="99">
        <v>34586</v>
      </c>
      <c r="AD82" s="90" t="s">
        <v>356</v>
      </c>
      <c r="AE82" s="90" t="s">
        <v>39</v>
      </c>
      <c r="AF82" s="90">
        <v>0</v>
      </c>
      <c r="AG82" s="90" t="s">
        <v>251</v>
      </c>
    </row>
    <row r="83" spans="1:33" s="98" customFormat="1" ht="30" x14ac:dyDescent="0.25">
      <c r="A83" s="90">
        <v>1633</v>
      </c>
      <c r="B83" s="90" t="s">
        <v>272</v>
      </c>
      <c r="C83" s="90" t="s">
        <v>273</v>
      </c>
      <c r="D83" s="90" t="s">
        <v>36</v>
      </c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 t="s">
        <v>37</v>
      </c>
      <c r="Z83" s="90" t="s">
        <v>357</v>
      </c>
      <c r="AA83" s="99">
        <v>45390</v>
      </c>
      <c r="AB83" s="90"/>
      <c r="AC83" s="99">
        <v>36565</v>
      </c>
      <c r="AD83" s="90" t="s">
        <v>354</v>
      </c>
      <c r="AE83" s="90" t="s">
        <v>39</v>
      </c>
      <c r="AF83" s="90">
        <v>0</v>
      </c>
      <c r="AG83" s="90" t="s">
        <v>251</v>
      </c>
    </row>
    <row r="84" spans="1:33" s="98" customFormat="1" ht="30" x14ac:dyDescent="0.25">
      <c r="A84" s="90">
        <v>239</v>
      </c>
      <c r="B84" s="90" t="s">
        <v>34</v>
      </c>
      <c r="C84" s="90" t="s">
        <v>35</v>
      </c>
      <c r="D84" s="90" t="s">
        <v>36</v>
      </c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 t="s">
        <v>37</v>
      </c>
      <c r="Z84" s="90">
        <v>6</v>
      </c>
      <c r="AA84" s="99">
        <v>31348</v>
      </c>
      <c r="AB84" s="90"/>
      <c r="AC84" s="99">
        <v>24093</v>
      </c>
      <c r="AD84" s="90" t="s">
        <v>354</v>
      </c>
      <c r="AE84" s="90" t="s">
        <v>39</v>
      </c>
      <c r="AF84" s="90">
        <v>25</v>
      </c>
      <c r="AG84" s="90" t="s">
        <v>251</v>
      </c>
    </row>
    <row r="85" spans="1:33" s="98" customFormat="1" ht="30" x14ac:dyDescent="0.25">
      <c r="A85" s="90">
        <v>1185</v>
      </c>
      <c r="B85" s="90" t="s">
        <v>174</v>
      </c>
      <c r="C85" s="90" t="s">
        <v>175</v>
      </c>
      <c r="D85" s="90" t="s">
        <v>36</v>
      </c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 t="s">
        <v>37</v>
      </c>
      <c r="Z85" s="90" t="s">
        <v>357</v>
      </c>
      <c r="AA85" s="99">
        <v>40360</v>
      </c>
      <c r="AB85" s="99">
        <v>45702</v>
      </c>
      <c r="AC85" s="99">
        <v>31393</v>
      </c>
      <c r="AD85" s="90" t="s">
        <v>354</v>
      </c>
      <c r="AE85" s="90" t="s">
        <v>39</v>
      </c>
      <c r="AF85" s="90">
        <v>15</v>
      </c>
      <c r="AG85" s="90" t="s">
        <v>251</v>
      </c>
    </row>
    <row r="86" spans="1:33" s="98" customFormat="1" ht="30" x14ac:dyDescent="0.25">
      <c r="A86" s="90">
        <v>1195</v>
      </c>
      <c r="B86" s="90" t="s">
        <v>176</v>
      </c>
      <c r="C86" s="90" t="s">
        <v>177</v>
      </c>
      <c r="D86" s="90" t="s">
        <v>36</v>
      </c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 t="s">
        <v>37</v>
      </c>
      <c r="Z86" s="90" t="s">
        <v>360</v>
      </c>
      <c r="AA86" s="99">
        <v>40422</v>
      </c>
      <c r="AB86" s="90"/>
      <c r="AC86" s="99">
        <v>32377</v>
      </c>
      <c r="AD86" s="90" t="s">
        <v>354</v>
      </c>
      <c r="AE86" s="90" t="s">
        <v>39</v>
      </c>
      <c r="AF86" s="90">
        <v>15</v>
      </c>
      <c r="AG86" s="90" t="s">
        <v>251</v>
      </c>
    </row>
    <row r="87" spans="1:33" s="98" customFormat="1" ht="30" x14ac:dyDescent="0.25">
      <c r="A87" s="90">
        <v>1210</v>
      </c>
      <c r="B87" s="90" t="s">
        <v>187</v>
      </c>
      <c r="C87" s="90" t="s">
        <v>188</v>
      </c>
      <c r="D87" s="90" t="s">
        <v>36</v>
      </c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 t="s">
        <v>37</v>
      </c>
      <c r="Z87" s="90" t="s">
        <v>359</v>
      </c>
      <c r="AA87" s="99">
        <v>40634</v>
      </c>
      <c r="AB87" s="99">
        <v>45898</v>
      </c>
      <c r="AC87" s="99">
        <v>31025</v>
      </c>
      <c r="AD87" s="90" t="s">
        <v>354</v>
      </c>
      <c r="AE87" s="90" t="s">
        <v>39</v>
      </c>
      <c r="AF87" s="90">
        <v>15</v>
      </c>
      <c r="AG87" s="90" t="s">
        <v>251</v>
      </c>
    </row>
    <row r="88" spans="1:33" s="98" customFormat="1" ht="30" x14ac:dyDescent="0.25">
      <c r="A88" s="90">
        <v>1672</v>
      </c>
      <c r="B88" s="90" t="s">
        <v>278</v>
      </c>
      <c r="C88" s="90" t="s">
        <v>279</v>
      </c>
      <c r="D88" s="90" t="s">
        <v>36</v>
      </c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 t="s">
        <v>37</v>
      </c>
      <c r="Z88" s="90" t="s">
        <v>357</v>
      </c>
      <c r="AA88" s="99">
        <v>45659</v>
      </c>
      <c r="AB88" s="90"/>
      <c r="AC88" s="99">
        <v>35195</v>
      </c>
      <c r="AD88" s="90" t="s">
        <v>356</v>
      </c>
      <c r="AE88" s="90" t="s">
        <v>39</v>
      </c>
      <c r="AF88" s="90">
        <v>0</v>
      </c>
      <c r="AG88" s="90" t="s">
        <v>251</v>
      </c>
    </row>
    <row r="89" spans="1:33" s="98" customFormat="1" ht="30" x14ac:dyDescent="0.25">
      <c r="A89" s="90">
        <v>1482</v>
      </c>
      <c r="B89" s="90" t="s">
        <v>226</v>
      </c>
      <c r="C89" s="90" t="s">
        <v>227</v>
      </c>
      <c r="D89" s="90" t="s">
        <v>36</v>
      </c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 t="s">
        <v>37</v>
      </c>
      <c r="Z89" s="90" t="s">
        <v>357</v>
      </c>
      <c r="AA89" s="99">
        <v>44835</v>
      </c>
      <c r="AB89" s="90"/>
      <c r="AC89" s="99">
        <v>35762</v>
      </c>
      <c r="AD89" s="90" t="s">
        <v>354</v>
      </c>
      <c r="AE89" s="90" t="s">
        <v>39</v>
      </c>
      <c r="AF89" s="90">
        <v>5</v>
      </c>
      <c r="AG89" s="90" t="s">
        <v>251</v>
      </c>
    </row>
    <row r="90" spans="1:33" s="98" customFormat="1" ht="30" x14ac:dyDescent="0.25">
      <c r="A90" s="90">
        <v>1450</v>
      </c>
      <c r="B90" s="90" t="s">
        <v>200</v>
      </c>
      <c r="C90" s="90" t="s">
        <v>220</v>
      </c>
      <c r="D90" s="90" t="s">
        <v>36</v>
      </c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 t="s">
        <v>37</v>
      </c>
      <c r="Z90" s="90" t="s">
        <v>357</v>
      </c>
      <c r="AA90" s="99">
        <v>44634</v>
      </c>
      <c r="AB90" s="90"/>
      <c r="AC90" s="99">
        <v>35353</v>
      </c>
      <c r="AD90" s="90" t="s">
        <v>356</v>
      </c>
      <c r="AE90" s="90" t="s">
        <v>221</v>
      </c>
      <c r="AF90" s="90">
        <v>5</v>
      </c>
      <c r="AG90" s="90" t="s">
        <v>251</v>
      </c>
    </row>
    <row r="91" spans="1:33" s="98" customFormat="1" ht="30" x14ac:dyDescent="0.25">
      <c r="A91" s="90">
        <v>505</v>
      </c>
      <c r="B91" s="90" t="s">
        <v>145</v>
      </c>
      <c r="C91" s="90" t="s">
        <v>64</v>
      </c>
      <c r="D91" s="90" t="s">
        <v>36</v>
      </c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 t="s">
        <v>55</v>
      </c>
      <c r="Z91" s="90" t="s">
        <v>353</v>
      </c>
      <c r="AA91" s="99">
        <v>36039</v>
      </c>
      <c r="AB91" s="90"/>
      <c r="AC91" s="99">
        <v>26114</v>
      </c>
      <c r="AD91" s="90" t="s">
        <v>354</v>
      </c>
      <c r="AE91" s="90" t="s">
        <v>39</v>
      </c>
      <c r="AF91" s="90">
        <v>25</v>
      </c>
      <c r="AG91" s="90" t="s">
        <v>251</v>
      </c>
    </row>
    <row r="92" spans="1:33" s="98" customFormat="1" ht="30" x14ac:dyDescent="0.25">
      <c r="A92" s="90">
        <v>498</v>
      </c>
      <c r="B92" s="90" t="s">
        <v>139</v>
      </c>
      <c r="C92" s="90" t="s">
        <v>140</v>
      </c>
      <c r="D92" s="90" t="s">
        <v>36</v>
      </c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 t="s">
        <v>55</v>
      </c>
      <c r="Z92" s="90" t="s">
        <v>356</v>
      </c>
      <c r="AA92" s="99">
        <v>35996</v>
      </c>
      <c r="AB92" s="90"/>
      <c r="AC92" s="99">
        <v>25749</v>
      </c>
      <c r="AD92" s="90" t="s">
        <v>354</v>
      </c>
      <c r="AE92" s="90" t="s">
        <v>39</v>
      </c>
      <c r="AF92" s="90">
        <v>25</v>
      </c>
      <c r="AG92" s="90" t="s">
        <v>251</v>
      </c>
    </row>
    <row r="93" spans="1:33" s="98" customFormat="1" ht="30" x14ac:dyDescent="0.25">
      <c r="A93" s="90">
        <v>495</v>
      </c>
      <c r="B93" s="90" t="s">
        <v>134</v>
      </c>
      <c r="C93" s="90" t="s">
        <v>42</v>
      </c>
      <c r="D93" s="90" t="s">
        <v>36</v>
      </c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 t="s">
        <v>37</v>
      </c>
      <c r="Z93" s="90" t="s">
        <v>357</v>
      </c>
      <c r="AA93" s="99">
        <v>35996</v>
      </c>
      <c r="AB93" s="90"/>
      <c r="AC93" s="99">
        <v>27305</v>
      </c>
      <c r="AD93" s="90" t="s">
        <v>354</v>
      </c>
      <c r="AE93" s="90" t="s">
        <v>39</v>
      </c>
      <c r="AF93" s="90">
        <v>25</v>
      </c>
      <c r="AG93" s="90" t="s">
        <v>251</v>
      </c>
    </row>
    <row r="94" spans="1:33" s="98" customFormat="1" ht="30" x14ac:dyDescent="0.25">
      <c r="A94" s="90">
        <v>493</v>
      </c>
      <c r="B94" s="90" t="s">
        <v>130</v>
      </c>
      <c r="C94" s="90" t="s">
        <v>96</v>
      </c>
      <c r="D94" s="90" t="s">
        <v>36</v>
      </c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 t="s">
        <v>37</v>
      </c>
      <c r="Z94" s="90" t="s">
        <v>359</v>
      </c>
      <c r="AA94" s="99">
        <v>35996</v>
      </c>
      <c r="AB94" s="90"/>
      <c r="AC94" s="99">
        <v>26048</v>
      </c>
      <c r="AD94" s="90" t="s">
        <v>354</v>
      </c>
      <c r="AE94" s="90" t="s">
        <v>39</v>
      </c>
      <c r="AF94" s="90">
        <v>25</v>
      </c>
      <c r="AG94" s="90" t="s">
        <v>251</v>
      </c>
    </row>
    <row r="95" spans="1:33" s="98" customFormat="1" ht="30" x14ac:dyDescent="0.25">
      <c r="A95" s="90">
        <v>477</v>
      </c>
      <c r="B95" s="90" t="s">
        <v>116</v>
      </c>
      <c r="C95" s="90" t="s">
        <v>117</v>
      </c>
      <c r="D95" s="90" t="s">
        <v>36</v>
      </c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 t="s">
        <v>55</v>
      </c>
      <c r="Z95" s="90" t="s">
        <v>356</v>
      </c>
      <c r="AA95" s="99">
        <v>35996</v>
      </c>
      <c r="AB95" s="90"/>
      <c r="AC95" s="99">
        <v>26554</v>
      </c>
      <c r="AD95" s="90" t="s">
        <v>354</v>
      </c>
      <c r="AE95" s="90" t="s">
        <v>39</v>
      </c>
      <c r="AF95" s="90">
        <v>25</v>
      </c>
      <c r="AG95" s="90" t="s">
        <v>251</v>
      </c>
    </row>
    <row r="96" spans="1:33" s="98" customFormat="1" ht="30" x14ac:dyDescent="0.25">
      <c r="A96" s="90">
        <v>470</v>
      </c>
      <c r="B96" s="90" t="s">
        <v>109</v>
      </c>
      <c r="C96" s="90" t="s">
        <v>110</v>
      </c>
      <c r="D96" s="90" t="s">
        <v>36</v>
      </c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 t="s">
        <v>55</v>
      </c>
      <c r="Z96" s="90" t="s">
        <v>356</v>
      </c>
      <c r="AA96" s="99">
        <v>35996</v>
      </c>
      <c r="AB96" s="90"/>
      <c r="AC96" s="99">
        <v>26846</v>
      </c>
      <c r="AD96" s="90" t="s">
        <v>354</v>
      </c>
      <c r="AE96" s="90" t="s">
        <v>39</v>
      </c>
      <c r="AF96" s="90">
        <v>25</v>
      </c>
      <c r="AG96" s="90" t="s">
        <v>251</v>
      </c>
    </row>
    <row r="97" spans="1:33" s="98" customFormat="1" ht="30" x14ac:dyDescent="0.25">
      <c r="A97" s="90">
        <v>467</v>
      </c>
      <c r="B97" s="90" t="s">
        <v>105</v>
      </c>
      <c r="C97" s="90" t="s">
        <v>106</v>
      </c>
      <c r="D97" s="90" t="s">
        <v>36</v>
      </c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 t="s">
        <v>55</v>
      </c>
      <c r="Z97" s="90" t="s">
        <v>356</v>
      </c>
      <c r="AA97" s="99">
        <v>35996</v>
      </c>
      <c r="AB97" s="90"/>
      <c r="AC97" s="99">
        <v>25617</v>
      </c>
      <c r="AD97" s="90" t="s">
        <v>354</v>
      </c>
      <c r="AE97" s="90" t="s">
        <v>39</v>
      </c>
      <c r="AF97" s="90">
        <v>25</v>
      </c>
      <c r="AG97" s="90" t="s">
        <v>251</v>
      </c>
    </row>
    <row r="98" spans="1:33" s="98" customFormat="1" ht="30" x14ac:dyDescent="0.25">
      <c r="A98" s="90">
        <v>462</v>
      </c>
      <c r="B98" s="90" t="s">
        <v>101</v>
      </c>
      <c r="C98" s="90" t="s">
        <v>42</v>
      </c>
      <c r="D98" s="90" t="s">
        <v>36</v>
      </c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 t="s">
        <v>37</v>
      </c>
      <c r="Z98" s="90" t="s">
        <v>357</v>
      </c>
      <c r="AA98" s="99">
        <v>35947</v>
      </c>
      <c r="AB98" s="90"/>
      <c r="AC98" s="99">
        <v>26404</v>
      </c>
      <c r="AD98" s="90" t="s">
        <v>354</v>
      </c>
      <c r="AE98" s="90" t="s">
        <v>39</v>
      </c>
      <c r="AF98" s="90">
        <v>25</v>
      </c>
      <c r="AG98" s="90" t="s">
        <v>251</v>
      </c>
    </row>
    <row r="99" spans="1:33" s="98" customFormat="1" ht="30" x14ac:dyDescent="0.25">
      <c r="A99" s="90">
        <v>458</v>
      </c>
      <c r="B99" s="90" t="s">
        <v>97</v>
      </c>
      <c r="C99" s="90" t="s">
        <v>46</v>
      </c>
      <c r="D99" s="90" t="s">
        <v>36</v>
      </c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 t="s">
        <v>37</v>
      </c>
      <c r="Z99" s="90" t="s">
        <v>357</v>
      </c>
      <c r="AA99" s="99">
        <v>35947</v>
      </c>
      <c r="AB99" s="90"/>
      <c r="AC99" s="99">
        <v>26186</v>
      </c>
      <c r="AD99" s="90" t="s">
        <v>354</v>
      </c>
      <c r="AE99" s="90" t="s">
        <v>39</v>
      </c>
      <c r="AF99" s="90">
        <v>25</v>
      </c>
      <c r="AG99" s="90" t="s">
        <v>251</v>
      </c>
    </row>
    <row r="100" spans="1:33" s="98" customFormat="1" ht="30" x14ac:dyDescent="0.25">
      <c r="A100" s="90">
        <v>455</v>
      </c>
      <c r="B100" s="90" t="s">
        <v>93</v>
      </c>
      <c r="C100" s="90" t="s">
        <v>94</v>
      </c>
      <c r="D100" s="90" t="s">
        <v>36</v>
      </c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 t="s">
        <v>55</v>
      </c>
      <c r="Z100" s="90" t="s">
        <v>356</v>
      </c>
      <c r="AA100" s="99">
        <v>35947</v>
      </c>
      <c r="AB100" s="90"/>
      <c r="AC100" s="99">
        <v>24750</v>
      </c>
      <c r="AD100" s="90" t="s">
        <v>356</v>
      </c>
      <c r="AE100" s="90" t="s">
        <v>39</v>
      </c>
      <c r="AF100" s="90">
        <v>25</v>
      </c>
      <c r="AG100" s="90" t="s">
        <v>251</v>
      </c>
    </row>
    <row r="101" spans="1:33" s="98" customFormat="1" ht="30" x14ac:dyDescent="0.25">
      <c r="A101" s="90">
        <v>1368</v>
      </c>
      <c r="B101" s="90" t="s">
        <v>203</v>
      </c>
      <c r="C101" s="90" t="s">
        <v>204</v>
      </c>
      <c r="D101" s="90" t="s">
        <v>36</v>
      </c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 t="s">
        <v>37</v>
      </c>
      <c r="Z101" s="90" t="s">
        <v>357</v>
      </c>
      <c r="AA101" s="99">
        <v>43617</v>
      </c>
      <c r="AB101" s="90"/>
      <c r="AC101" s="99">
        <v>32976</v>
      </c>
      <c r="AD101" s="90" t="s">
        <v>354</v>
      </c>
      <c r="AE101" s="90" t="s">
        <v>180</v>
      </c>
      <c r="AF101" s="90">
        <v>10</v>
      </c>
      <c r="AG101" s="90" t="s">
        <v>251</v>
      </c>
    </row>
    <row r="102" spans="1:33" s="98" customFormat="1" ht="30" x14ac:dyDescent="0.25">
      <c r="A102" s="90">
        <v>1367</v>
      </c>
      <c r="B102" s="90" t="s">
        <v>200</v>
      </c>
      <c r="C102" s="90" t="s">
        <v>201</v>
      </c>
      <c r="D102" s="90" t="s">
        <v>36</v>
      </c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 t="s">
        <v>37</v>
      </c>
      <c r="Z102" s="90" t="s">
        <v>357</v>
      </c>
      <c r="AA102" s="99">
        <v>43617</v>
      </c>
      <c r="AB102" s="90"/>
      <c r="AC102" s="99">
        <v>33877</v>
      </c>
      <c r="AD102" s="90" t="s">
        <v>354</v>
      </c>
      <c r="AE102" s="90" t="s">
        <v>180</v>
      </c>
      <c r="AF102" s="90">
        <v>10</v>
      </c>
      <c r="AG102" s="90" t="s">
        <v>251</v>
      </c>
    </row>
    <row r="103" spans="1:33" s="98" customFormat="1" ht="30" x14ac:dyDescent="0.25">
      <c r="A103" s="90">
        <v>333</v>
      </c>
      <c r="B103" s="90" t="s">
        <v>57</v>
      </c>
      <c r="C103" s="90" t="s">
        <v>58</v>
      </c>
      <c r="D103" s="90" t="s">
        <v>36</v>
      </c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 t="s">
        <v>55</v>
      </c>
      <c r="Z103" s="90">
        <v>6</v>
      </c>
      <c r="AA103" s="99">
        <v>32905</v>
      </c>
      <c r="AB103" s="90"/>
      <c r="AC103" s="99">
        <v>25435</v>
      </c>
      <c r="AD103" s="90" t="s">
        <v>354</v>
      </c>
      <c r="AE103" s="90" t="s">
        <v>39</v>
      </c>
      <c r="AF103" s="90">
        <v>25</v>
      </c>
      <c r="AG103" s="90" t="s">
        <v>251</v>
      </c>
    </row>
    <row r="104" spans="1:33" s="98" customFormat="1" ht="30" x14ac:dyDescent="0.25">
      <c r="A104" s="90">
        <v>496</v>
      </c>
      <c r="B104" s="90" t="s">
        <v>135</v>
      </c>
      <c r="C104" s="90" t="s">
        <v>154</v>
      </c>
      <c r="D104" s="90" t="s">
        <v>36</v>
      </c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 t="s">
        <v>37</v>
      </c>
      <c r="Z104" s="90" t="s">
        <v>360</v>
      </c>
      <c r="AA104" s="99">
        <v>35996</v>
      </c>
      <c r="AB104" s="90"/>
      <c r="AC104" s="99">
        <v>26177</v>
      </c>
      <c r="AD104" s="90" t="s">
        <v>354</v>
      </c>
      <c r="AE104" s="90" t="s">
        <v>39</v>
      </c>
      <c r="AF104" s="90">
        <v>25</v>
      </c>
      <c r="AG104" s="90" t="s">
        <v>251</v>
      </c>
    </row>
    <row r="105" spans="1:33" s="98" customFormat="1" ht="30" x14ac:dyDescent="0.25">
      <c r="A105" s="90">
        <v>491</v>
      </c>
      <c r="B105" s="90" t="s">
        <v>128</v>
      </c>
      <c r="C105" s="90" t="s">
        <v>49</v>
      </c>
      <c r="D105" s="90" t="s">
        <v>36</v>
      </c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 t="s">
        <v>55</v>
      </c>
      <c r="Z105" s="90" t="s">
        <v>356</v>
      </c>
      <c r="AA105" s="99">
        <v>35996</v>
      </c>
      <c r="AB105" s="99">
        <v>45818</v>
      </c>
      <c r="AC105" s="99">
        <v>23903</v>
      </c>
      <c r="AD105" s="90" t="s">
        <v>354</v>
      </c>
      <c r="AE105" s="90" t="s">
        <v>39</v>
      </c>
      <c r="AF105" s="90">
        <v>25</v>
      </c>
      <c r="AG105" s="90" t="s">
        <v>251</v>
      </c>
    </row>
    <row r="106" spans="1:33" s="98" customFormat="1" ht="30" x14ac:dyDescent="0.25">
      <c r="A106" s="90">
        <v>499</v>
      </c>
      <c r="B106" s="90" t="s">
        <v>141</v>
      </c>
      <c r="C106" s="90" t="s">
        <v>81</v>
      </c>
      <c r="D106" s="90" t="s">
        <v>36</v>
      </c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 t="s">
        <v>37</v>
      </c>
      <c r="Z106" s="90" t="s">
        <v>357</v>
      </c>
      <c r="AA106" s="99">
        <v>35997</v>
      </c>
      <c r="AB106" s="99">
        <v>45870</v>
      </c>
      <c r="AC106" s="99">
        <v>26602</v>
      </c>
      <c r="AD106" s="90" t="s">
        <v>354</v>
      </c>
      <c r="AE106" s="90" t="s">
        <v>39</v>
      </c>
      <c r="AF106" s="90">
        <v>25</v>
      </c>
      <c r="AG106" s="90" t="s">
        <v>251</v>
      </c>
    </row>
    <row r="107" spans="1:33" s="98" customFormat="1" ht="30" x14ac:dyDescent="0.25">
      <c r="A107" s="90">
        <v>504</v>
      </c>
      <c r="B107" s="90" t="s">
        <v>143</v>
      </c>
      <c r="C107" s="90" t="s">
        <v>144</v>
      </c>
      <c r="D107" s="90" t="s">
        <v>36</v>
      </c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 t="s">
        <v>55</v>
      </c>
      <c r="Z107" s="90" t="s">
        <v>356</v>
      </c>
      <c r="AA107" s="99">
        <v>36039</v>
      </c>
      <c r="AB107" s="90"/>
      <c r="AC107" s="99">
        <v>24416</v>
      </c>
      <c r="AD107" s="90" t="s">
        <v>354</v>
      </c>
      <c r="AE107" s="90" t="s">
        <v>39</v>
      </c>
      <c r="AF107" s="90">
        <v>25</v>
      </c>
      <c r="AG107" s="90" t="s">
        <v>251</v>
      </c>
    </row>
    <row r="108" spans="1:33" s="98" customFormat="1" ht="30" x14ac:dyDescent="0.25">
      <c r="A108" s="90">
        <v>507</v>
      </c>
      <c r="B108" s="90" t="s">
        <v>147</v>
      </c>
      <c r="C108" s="90" t="s">
        <v>106</v>
      </c>
      <c r="D108" s="90" t="s">
        <v>36</v>
      </c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 t="s">
        <v>55</v>
      </c>
      <c r="Z108" s="90" t="s">
        <v>356</v>
      </c>
      <c r="AA108" s="99">
        <v>36039</v>
      </c>
      <c r="AB108" s="90"/>
      <c r="AC108" s="99">
        <v>24288</v>
      </c>
      <c r="AD108" s="90" t="s">
        <v>354</v>
      </c>
      <c r="AE108" s="90" t="s">
        <v>39</v>
      </c>
      <c r="AF108" s="90">
        <v>25</v>
      </c>
      <c r="AG108" s="90" t="s">
        <v>251</v>
      </c>
    </row>
    <row r="109" spans="1:33" s="98" customFormat="1" ht="30" x14ac:dyDescent="0.25">
      <c r="A109" s="90">
        <v>1382</v>
      </c>
      <c r="B109" s="90" t="s">
        <v>205</v>
      </c>
      <c r="C109" s="90" t="s">
        <v>206</v>
      </c>
      <c r="D109" s="90" t="s">
        <v>36</v>
      </c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 t="s">
        <v>37</v>
      </c>
      <c r="Z109" s="90" t="s">
        <v>357</v>
      </c>
      <c r="AA109" s="99">
        <v>43892</v>
      </c>
      <c r="AB109" s="90"/>
      <c r="AC109" s="99">
        <v>35107</v>
      </c>
      <c r="AD109" s="90" t="s">
        <v>356</v>
      </c>
      <c r="AE109" s="90" t="s">
        <v>39</v>
      </c>
      <c r="AF109" s="90">
        <v>5</v>
      </c>
      <c r="AG109" s="90" t="s">
        <v>251</v>
      </c>
    </row>
    <row r="110" spans="1:33" s="98" customFormat="1" ht="30" x14ac:dyDescent="0.25">
      <c r="A110" s="90">
        <v>1507</v>
      </c>
      <c r="B110" s="90" t="s">
        <v>228</v>
      </c>
      <c r="C110" s="90" t="s">
        <v>229</v>
      </c>
      <c r="D110" s="90" t="s">
        <v>36</v>
      </c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 t="s">
        <v>55</v>
      </c>
      <c r="Z110" s="90" t="s">
        <v>353</v>
      </c>
      <c r="AA110" s="99">
        <v>44896</v>
      </c>
      <c r="AB110" s="90"/>
      <c r="AC110" s="99">
        <v>36345</v>
      </c>
      <c r="AD110" s="90" t="s">
        <v>356</v>
      </c>
      <c r="AE110" s="90" t="s">
        <v>39</v>
      </c>
      <c r="AF110" s="90">
        <v>5</v>
      </c>
      <c r="AG110" s="90" t="s">
        <v>251</v>
      </c>
    </row>
    <row r="111" spans="1:33" s="98" customFormat="1" ht="30" x14ac:dyDescent="0.25">
      <c r="A111" s="90">
        <v>1637</v>
      </c>
      <c r="B111" s="90" t="s">
        <v>274</v>
      </c>
      <c r="C111" s="90" t="s">
        <v>275</v>
      </c>
      <c r="D111" s="90" t="s">
        <v>36</v>
      </c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 t="s">
        <v>37</v>
      </c>
      <c r="Z111" s="90" t="s">
        <v>357</v>
      </c>
      <c r="AA111" s="99">
        <v>45404</v>
      </c>
      <c r="AB111" s="90"/>
      <c r="AC111" s="99">
        <v>34410</v>
      </c>
      <c r="AD111" s="90" t="s">
        <v>356</v>
      </c>
      <c r="AE111" s="90" t="s">
        <v>221</v>
      </c>
      <c r="AF111" s="90">
        <v>0</v>
      </c>
      <c r="AG111" s="90" t="s">
        <v>251</v>
      </c>
    </row>
    <row r="112" spans="1:33" s="98" customFormat="1" ht="30" x14ac:dyDescent="0.25">
      <c r="A112" s="90">
        <v>1645</v>
      </c>
      <c r="B112" s="90" t="s">
        <v>276</v>
      </c>
      <c r="C112" s="90" t="s">
        <v>277</v>
      </c>
      <c r="D112" s="90" t="s">
        <v>36</v>
      </c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 t="s">
        <v>55</v>
      </c>
      <c r="Z112" s="90" t="s">
        <v>356</v>
      </c>
      <c r="AA112" s="99">
        <v>45446</v>
      </c>
      <c r="AB112" s="90"/>
      <c r="AC112" s="99">
        <v>34048</v>
      </c>
      <c r="AD112" s="90" t="s">
        <v>354</v>
      </c>
      <c r="AE112" s="90" t="s">
        <v>39</v>
      </c>
      <c r="AF112" s="90">
        <v>0</v>
      </c>
      <c r="AG112" s="90" t="s">
        <v>251</v>
      </c>
    </row>
    <row r="113" spans="1:33" s="98" customFormat="1" ht="30" x14ac:dyDescent="0.25">
      <c r="A113" s="90">
        <v>302</v>
      </c>
      <c r="B113" s="90" t="s">
        <v>41</v>
      </c>
      <c r="C113" s="90" t="s">
        <v>42</v>
      </c>
      <c r="D113" s="90" t="s">
        <v>36</v>
      </c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 t="s">
        <v>37</v>
      </c>
      <c r="Z113" s="90">
        <v>2</v>
      </c>
      <c r="AA113" s="99">
        <v>32470</v>
      </c>
      <c r="AB113" s="99">
        <v>45838</v>
      </c>
      <c r="AC113" s="99">
        <v>23923</v>
      </c>
      <c r="AD113" s="90" t="s">
        <v>354</v>
      </c>
      <c r="AE113" s="90" t="s">
        <v>39</v>
      </c>
      <c r="AF113" s="90">
        <v>25</v>
      </c>
      <c r="AG113" s="90" t="s">
        <v>251</v>
      </c>
    </row>
    <row r="114" spans="1:33" s="98" customFormat="1" ht="30" x14ac:dyDescent="0.25">
      <c r="A114" s="90">
        <v>325</v>
      </c>
      <c r="B114" s="90" t="s">
        <v>51</v>
      </c>
      <c r="C114" s="90" t="s">
        <v>52</v>
      </c>
      <c r="D114" s="90" t="s">
        <v>36</v>
      </c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 t="s">
        <v>37</v>
      </c>
      <c r="Z114" s="90">
        <v>3</v>
      </c>
      <c r="AA114" s="99">
        <v>32822</v>
      </c>
      <c r="AB114" s="90"/>
      <c r="AC114" s="99">
        <v>24277</v>
      </c>
      <c r="AD114" s="90" t="s">
        <v>354</v>
      </c>
      <c r="AE114" s="90" t="s">
        <v>39</v>
      </c>
      <c r="AF114" s="90">
        <v>25</v>
      </c>
      <c r="AG114" s="90" t="s">
        <v>251</v>
      </c>
    </row>
    <row r="115" spans="1:33" s="98" customFormat="1" ht="30" x14ac:dyDescent="0.25">
      <c r="A115" s="90">
        <v>1208</v>
      </c>
      <c r="B115" s="90" t="s">
        <v>186</v>
      </c>
      <c r="C115" s="90" t="s">
        <v>42</v>
      </c>
      <c r="D115" s="90" t="s">
        <v>36</v>
      </c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 t="s">
        <v>37</v>
      </c>
      <c r="Z115" s="90" t="s">
        <v>359</v>
      </c>
      <c r="AA115" s="99">
        <v>40546</v>
      </c>
      <c r="AB115" s="90"/>
      <c r="AC115" s="99">
        <v>30497</v>
      </c>
      <c r="AD115" s="90" t="s">
        <v>354</v>
      </c>
      <c r="AE115" s="90" t="s">
        <v>39</v>
      </c>
      <c r="AF115" s="90">
        <v>15</v>
      </c>
      <c r="AG115" s="90" t="s">
        <v>251</v>
      </c>
    </row>
    <row r="116" spans="1:33" s="98" customFormat="1" ht="30" x14ac:dyDescent="0.25">
      <c r="A116" s="90">
        <v>490</v>
      </c>
      <c r="B116" s="90" t="s">
        <v>126</v>
      </c>
      <c r="C116" s="90" t="s">
        <v>127</v>
      </c>
      <c r="D116" s="90" t="s">
        <v>36</v>
      </c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 t="s">
        <v>55</v>
      </c>
      <c r="Z116" s="90" t="s">
        <v>356</v>
      </c>
      <c r="AA116" s="99">
        <v>35996</v>
      </c>
      <c r="AB116" s="90"/>
      <c r="AC116" s="99">
        <v>27529</v>
      </c>
      <c r="AD116" s="90" t="s">
        <v>354</v>
      </c>
      <c r="AE116" s="90" t="s">
        <v>39</v>
      </c>
      <c r="AF116" s="90">
        <v>25</v>
      </c>
      <c r="AG116" s="90" t="s">
        <v>251</v>
      </c>
    </row>
    <row r="117" spans="1:33" s="98" customFormat="1" ht="30" x14ac:dyDescent="0.25">
      <c r="A117" s="90">
        <v>484</v>
      </c>
      <c r="B117" s="90" t="s">
        <v>121</v>
      </c>
      <c r="C117" s="90" t="s">
        <v>42</v>
      </c>
      <c r="D117" s="90" t="s">
        <v>36</v>
      </c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 t="s">
        <v>55</v>
      </c>
      <c r="Z117" s="90" t="s">
        <v>356</v>
      </c>
      <c r="AA117" s="99">
        <v>35996</v>
      </c>
      <c r="AB117" s="90"/>
      <c r="AC117" s="99">
        <v>27087</v>
      </c>
      <c r="AD117" s="90" t="s">
        <v>354</v>
      </c>
      <c r="AE117" s="90" t="s">
        <v>39</v>
      </c>
      <c r="AF117" s="90">
        <v>25</v>
      </c>
      <c r="AG117" s="90" t="s">
        <v>251</v>
      </c>
    </row>
    <row r="118" spans="1:33" s="98" customFormat="1" ht="30" x14ac:dyDescent="0.25">
      <c r="A118" s="90">
        <v>475</v>
      </c>
      <c r="B118" s="90" t="s">
        <v>114</v>
      </c>
      <c r="C118" s="90" t="s">
        <v>42</v>
      </c>
      <c r="D118" s="90" t="s">
        <v>36</v>
      </c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 t="s">
        <v>55</v>
      </c>
      <c r="Z118" s="90" t="s">
        <v>356</v>
      </c>
      <c r="AA118" s="99">
        <v>35996</v>
      </c>
      <c r="AB118" s="90"/>
      <c r="AC118" s="99">
        <v>26480</v>
      </c>
      <c r="AD118" s="90" t="s">
        <v>354</v>
      </c>
      <c r="AE118" s="90" t="s">
        <v>39</v>
      </c>
      <c r="AF118" s="90">
        <v>25</v>
      </c>
      <c r="AG118" s="90" t="s">
        <v>251</v>
      </c>
    </row>
    <row r="119" spans="1:33" s="98" customFormat="1" ht="30" x14ac:dyDescent="0.25">
      <c r="A119" s="90">
        <v>466</v>
      </c>
      <c r="B119" s="90" t="s">
        <v>104</v>
      </c>
      <c r="C119" s="90" t="s">
        <v>79</v>
      </c>
      <c r="D119" s="90" t="s">
        <v>36</v>
      </c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 t="s">
        <v>37</v>
      </c>
      <c r="Z119" s="90" t="s">
        <v>357</v>
      </c>
      <c r="AA119" s="99">
        <v>35996</v>
      </c>
      <c r="AB119" s="90"/>
      <c r="AC119" s="99">
        <v>27373</v>
      </c>
      <c r="AD119" s="90" t="s">
        <v>354</v>
      </c>
      <c r="AE119" s="90" t="s">
        <v>39</v>
      </c>
      <c r="AF119" s="90">
        <v>25</v>
      </c>
      <c r="AG119" s="90" t="s">
        <v>251</v>
      </c>
    </row>
    <row r="120" spans="1:33" s="98" customFormat="1" ht="30" x14ac:dyDescent="0.25">
      <c r="A120" s="90">
        <v>464</v>
      </c>
      <c r="B120" s="90" t="s">
        <v>102</v>
      </c>
      <c r="C120" s="90" t="s">
        <v>52</v>
      </c>
      <c r="D120" s="90" t="s">
        <v>36</v>
      </c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 t="s">
        <v>55</v>
      </c>
      <c r="Z120" s="90" t="s">
        <v>356</v>
      </c>
      <c r="AA120" s="99">
        <v>35947</v>
      </c>
      <c r="AB120" s="90"/>
      <c r="AC120" s="99">
        <v>25361</v>
      </c>
      <c r="AD120" s="90" t="s">
        <v>354</v>
      </c>
      <c r="AE120" s="90" t="s">
        <v>39</v>
      </c>
      <c r="AF120" s="90">
        <v>25</v>
      </c>
      <c r="AG120" s="90" t="s">
        <v>251</v>
      </c>
    </row>
    <row r="121" spans="1:33" s="98" customFormat="1" ht="30" x14ac:dyDescent="0.25">
      <c r="A121" s="90">
        <v>459</v>
      </c>
      <c r="B121" s="90" t="s">
        <v>98</v>
      </c>
      <c r="C121" s="90" t="s">
        <v>99</v>
      </c>
      <c r="D121" s="90" t="s">
        <v>36</v>
      </c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 t="s">
        <v>37</v>
      </c>
      <c r="Z121" s="90" t="s">
        <v>357</v>
      </c>
      <c r="AA121" s="99">
        <v>35947</v>
      </c>
      <c r="AB121" s="90"/>
      <c r="AC121" s="99">
        <v>25913</v>
      </c>
      <c r="AD121" s="90" t="s">
        <v>354</v>
      </c>
      <c r="AE121" s="90" t="s">
        <v>39</v>
      </c>
      <c r="AF121" s="90">
        <v>25</v>
      </c>
      <c r="AG121" s="90" t="s">
        <v>251</v>
      </c>
    </row>
    <row r="122" spans="1:33" s="98" customFormat="1" ht="30" x14ac:dyDescent="0.25">
      <c r="A122" s="90">
        <v>1363</v>
      </c>
      <c r="B122" s="90" t="s">
        <v>199</v>
      </c>
      <c r="C122" s="90" t="s">
        <v>42</v>
      </c>
      <c r="D122" s="90" t="s">
        <v>36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 t="s">
        <v>37</v>
      </c>
      <c r="Z122" s="90" t="s">
        <v>357</v>
      </c>
      <c r="AA122" s="99">
        <v>43556</v>
      </c>
      <c r="AB122" s="90"/>
      <c r="AC122" s="99">
        <v>31024</v>
      </c>
      <c r="AD122" s="90" t="s">
        <v>354</v>
      </c>
      <c r="AE122" s="90" t="s">
        <v>39</v>
      </c>
      <c r="AF122" s="90">
        <v>10</v>
      </c>
      <c r="AG122" s="90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BBC8-A495-493E-B665-5EE2E237364B}">
  <dimension ref="A1:AH135"/>
  <sheetViews>
    <sheetView tabSelected="1" topLeftCell="S1" workbookViewId="0">
      <selection activeCell="W12" sqref="W12"/>
    </sheetView>
  </sheetViews>
  <sheetFormatPr baseColWidth="10" defaultColWidth="11.42578125" defaultRowHeight="15" x14ac:dyDescent="0.25"/>
  <cols>
    <col min="5" max="6" width="11.42578125" customWidth="1"/>
    <col min="7" max="7" width="11.42578125" style="82" customWidth="1"/>
    <col min="8" max="8" width="11.42578125" customWidth="1"/>
    <col min="9" max="9" width="11.42578125" style="82" customWidth="1"/>
    <col min="10" max="24" width="11.42578125" customWidth="1"/>
    <col min="27" max="27" width="11.42578125" style="82"/>
    <col min="29" max="29" width="11.42578125" style="82"/>
  </cols>
  <sheetData>
    <row r="1" spans="1:34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 s="83">
        <v>27</v>
      </c>
      <c r="AB1" s="83">
        <v>28</v>
      </c>
      <c r="AC1" s="83">
        <v>29</v>
      </c>
      <c r="AD1">
        <v>30</v>
      </c>
      <c r="AE1">
        <v>31</v>
      </c>
      <c r="AF1">
        <v>32</v>
      </c>
      <c r="AG1">
        <v>33</v>
      </c>
      <c r="AH1">
        <v>34</v>
      </c>
    </row>
    <row r="2" spans="1:34" x14ac:dyDescent="0.25">
      <c r="A2" t="s">
        <v>324</v>
      </c>
      <c r="B2" t="s">
        <v>325</v>
      </c>
      <c r="C2" t="s">
        <v>326</v>
      </c>
      <c r="D2" t="s">
        <v>17</v>
      </c>
      <c r="E2" t="s">
        <v>327</v>
      </c>
      <c r="F2" t="s">
        <v>328</v>
      </c>
      <c r="G2" s="82" t="s">
        <v>329</v>
      </c>
      <c r="H2" t="s">
        <v>330</v>
      </c>
      <c r="I2" s="82" t="s">
        <v>331</v>
      </c>
      <c r="J2" t="s">
        <v>332</v>
      </c>
      <c r="K2" t="s">
        <v>333</v>
      </c>
      <c r="L2" t="s">
        <v>334</v>
      </c>
      <c r="M2" t="s">
        <v>335</v>
      </c>
      <c r="N2" t="s">
        <v>336</v>
      </c>
      <c r="O2" t="s">
        <v>337</v>
      </c>
      <c r="P2" t="s">
        <v>338</v>
      </c>
      <c r="Q2" t="s">
        <v>339</v>
      </c>
      <c r="R2" t="s">
        <v>340</v>
      </c>
      <c r="S2" t="s">
        <v>341</v>
      </c>
      <c r="T2" t="s">
        <v>342</v>
      </c>
      <c r="U2" t="s">
        <v>343</v>
      </c>
      <c r="V2" t="s">
        <v>344</v>
      </c>
      <c r="W2" t="s">
        <v>345</v>
      </c>
      <c r="X2" t="s">
        <v>346</v>
      </c>
      <c r="Y2" t="s">
        <v>18</v>
      </c>
      <c r="Z2" t="s">
        <v>347</v>
      </c>
      <c r="AA2" s="82" t="s">
        <v>19</v>
      </c>
      <c r="AB2" t="s">
        <v>348</v>
      </c>
      <c r="AC2" s="82" t="s">
        <v>349</v>
      </c>
      <c r="AD2" t="s">
        <v>350</v>
      </c>
      <c r="AE2" t="s">
        <v>351</v>
      </c>
      <c r="AF2" t="s">
        <v>352</v>
      </c>
    </row>
    <row r="3" spans="1:34" x14ac:dyDescent="0.25">
      <c r="A3">
        <v>180</v>
      </c>
      <c r="B3" t="s">
        <v>364</v>
      </c>
      <c r="C3" t="s">
        <v>365</v>
      </c>
      <c r="D3" t="s">
        <v>36</v>
      </c>
      <c r="Y3" t="s">
        <v>37</v>
      </c>
      <c r="Z3">
        <v>8</v>
      </c>
      <c r="AA3" s="82">
        <v>30881</v>
      </c>
      <c r="AC3" s="82">
        <v>23172</v>
      </c>
      <c r="AD3" t="s">
        <v>354</v>
      </c>
      <c r="AE3" t="s">
        <v>39</v>
      </c>
      <c r="AF3">
        <v>25</v>
      </c>
      <c r="AG3" t="s">
        <v>366</v>
      </c>
    </row>
    <row r="4" spans="1:34" x14ac:dyDescent="0.25">
      <c r="A4">
        <v>183</v>
      </c>
      <c r="B4" t="s">
        <v>214</v>
      </c>
      <c r="C4" t="s">
        <v>367</v>
      </c>
      <c r="D4" t="s">
        <v>36</v>
      </c>
      <c r="Y4" t="s">
        <v>37</v>
      </c>
      <c r="Z4">
        <v>5</v>
      </c>
      <c r="AA4" s="82">
        <v>30888</v>
      </c>
      <c r="AC4" s="82">
        <v>23417</v>
      </c>
      <c r="AD4" t="s">
        <v>354</v>
      </c>
      <c r="AE4" t="s">
        <v>39</v>
      </c>
      <c r="AF4">
        <v>25</v>
      </c>
      <c r="AG4" t="s">
        <v>368</v>
      </c>
    </row>
    <row r="5" spans="1:34" x14ac:dyDescent="0.25">
      <c r="A5">
        <v>208</v>
      </c>
      <c r="B5" t="s">
        <v>369</v>
      </c>
      <c r="C5" t="s">
        <v>119</v>
      </c>
      <c r="D5" t="s">
        <v>36</v>
      </c>
      <c r="Y5" t="s">
        <v>55</v>
      </c>
      <c r="Z5">
        <v>10</v>
      </c>
      <c r="AA5" s="82">
        <v>30942</v>
      </c>
      <c r="AC5" s="82">
        <v>23437</v>
      </c>
      <c r="AD5" t="s">
        <v>354</v>
      </c>
      <c r="AE5" t="s">
        <v>39</v>
      </c>
      <c r="AF5">
        <v>25</v>
      </c>
      <c r="AG5" t="s">
        <v>355</v>
      </c>
    </row>
    <row r="6" spans="1:34" x14ac:dyDescent="0.25">
      <c r="A6">
        <v>213</v>
      </c>
      <c r="B6" t="s">
        <v>370</v>
      </c>
      <c r="C6" t="s">
        <v>42</v>
      </c>
      <c r="D6" t="s">
        <v>36</v>
      </c>
      <c r="Y6" t="s">
        <v>37</v>
      </c>
      <c r="Z6">
        <v>9</v>
      </c>
      <c r="AA6" s="82">
        <v>30956</v>
      </c>
      <c r="AC6" s="82">
        <v>23558</v>
      </c>
      <c r="AD6" t="s">
        <v>354</v>
      </c>
      <c r="AE6" t="s">
        <v>39</v>
      </c>
      <c r="AF6">
        <v>25</v>
      </c>
      <c r="AG6" t="s">
        <v>371</v>
      </c>
    </row>
    <row r="7" spans="1:34" x14ac:dyDescent="0.25">
      <c r="A7">
        <v>236</v>
      </c>
      <c r="B7" t="s">
        <v>372</v>
      </c>
      <c r="C7" t="s">
        <v>46</v>
      </c>
      <c r="D7" t="s">
        <v>36</v>
      </c>
      <c r="Y7" t="s">
        <v>37</v>
      </c>
      <c r="Z7">
        <v>5</v>
      </c>
      <c r="AA7" s="82">
        <v>31292</v>
      </c>
      <c r="AC7" s="82">
        <v>23480</v>
      </c>
      <c r="AD7" t="s">
        <v>354</v>
      </c>
      <c r="AE7" t="s">
        <v>39</v>
      </c>
      <c r="AF7">
        <v>25</v>
      </c>
      <c r="AG7" t="s">
        <v>373</v>
      </c>
    </row>
    <row r="8" spans="1:34" x14ac:dyDescent="0.25">
      <c r="A8">
        <v>239</v>
      </c>
      <c r="B8" t="s">
        <v>34</v>
      </c>
      <c r="C8" t="s">
        <v>35</v>
      </c>
      <c r="D8" t="s">
        <v>36</v>
      </c>
      <c r="Y8" t="s">
        <v>37</v>
      </c>
      <c r="Z8">
        <v>6</v>
      </c>
      <c r="AA8" s="82">
        <v>31348</v>
      </c>
      <c r="AC8" s="82">
        <v>24093</v>
      </c>
      <c r="AD8" t="s">
        <v>354</v>
      </c>
      <c r="AE8" t="s">
        <v>39</v>
      </c>
      <c r="AF8">
        <v>25</v>
      </c>
      <c r="AG8" t="s">
        <v>374</v>
      </c>
    </row>
    <row r="9" spans="1:34" x14ac:dyDescent="0.25">
      <c r="A9">
        <v>240</v>
      </c>
      <c r="B9" t="s">
        <v>375</v>
      </c>
      <c r="C9" t="s">
        <v>376</v>
      </c>
      <c r="D9" t="s">
        <v>36</v>
      </c>
      <c r="Y9" t="s">
        <v>55</v>
      </c>
      <c r="Z9">
        <v>8</v>
      </c>
      <c r="AA9" s="82">
        <v>31355</v>
      </c>
      <c r="AC9" s="82">
        <v>23584</v>
      </c>
      <c r="AD9" t="s">
        <v>354</v>
      </c>
      <c r="AE9" t="s">
        <v>39</v>
      </c>
      <c r="AF9">
        <v>25</v>
      </c>
      <c r="AG9" t="s">
        <v>377</v>
      </c>
    </row>
    <row r="10" spans="1:34" x14ac:dyDescent="0.25">
      <c r="A10">
        <v>242</v>
      </c>
      <c r="B10" t="s">
        <v>378</v>
      </c>
      <c r="C10" t="s">
        <v>379</v>
      </c>
      <c r="D10" t="s">
        <v>36</v>
      </c>
      <c r="Y10" t="s">
        <v>55</v>
      </c>
      <c r="Z10">
        <v>10</v>
      </c>
      <c r="AA10" s="82">
        <v>31378</v>
      </c>
      <c r="AC10" s="82">
        <v>23294</v>
      </c>
      <c r="AD10" t="s">
        <v>354</v>
      </c>
      <c r="AE10" t="s">
        <v>39</v>
      </c>
      <c r="AF10">
        <v>25</v>
      </c>
      <c r="AG10" t="s">
        <v>380</v>
      </c>
    </row>
    <row r="11" spans="1:34" x14ac:dyDescent="0.25">
      <c r="A11">
        <v>249</v>
      </c>
      <c r="B11" t="s">
        <v>381</v>
      </c>
      <c r="C11" t="s">
        <v>382</v>
      </c>
      <c r="D11" t="s">
        <v>36</v>
      </c>
      <c r="Y11" t="s">
        <v>37</v>
      </c>
      <c r="Z11">
        <v>5</v>
      </c>
      <c r="AA11" s="82">
        <v>31425</v>
      </c>
      <c r="AC11" s="82">
        <v>23233</v>
      </c>
      <c r="AD11" t="s">
        <v>354</v>
      </c>
      <c r="AE11" t="s">
        <v>39</v>
      </c>
      <c r="AF11">
        <v>25</v>
      </c>
      <c r="AG11" t="s">
        <v>383</v>
      </c>
    </row>
    <row r="12" spans="1:34" x14ac:dyDescent="0.25">
      <c r="A12">
        <v>252</v>
      </c>
      <c r="B12" t="s">
        <v>384</v>
      </c>
      <c r="C12" t="s">
        <v>385</v>
      </c>
      <c r="D12" t="s">
        <v>36</v>
      </c>
      <c r="Y12" t="s">
        <v>37</v>
      </c>
      <c r="Z12">
        <v>5</v>
      </c>
      <c r="AA12" s="82">
        <v>31455</v>
      </c>
      <c r="AC12" s="82">
        <v>23642</v>
      </c>
      <c r="AD12" t="s">
        <v>354</v>
      </c>
      <c r="AE12" t="s">
        <v>180</v>
      </c>
      <c r="AF12">
        <v>25</v>
      </c>
      <c r="AG12" t="s">
        <v>380</v>
      </c>
    </row>
    <row r="13" spans="1:34" x14ac:dyDescent="0.25">
      <c r="A13">
        <v>263</v>
      </c>
      <c r="B13" t="s">
        <v>386</v>
      </c>
      <c r="C13" t="s">
        <v>106</v>
      </c>
      <c r="D13" t="s">
        <v>36</v>
      </c>
      <c r="Y13" t="s">
        <v>37</v>
      </c>
      <c r="Z13">
        <v>5</v>
      </c>
      <c r="AA13" s="82">
        <v>31699</v>
      </c>
      <c r="AC13" s="82">
        <v>23691</v>
      </c>
      <c r="AD13" t="s">
        <v>354</v>
      </c>
      <c r="AE13" t="s">
        <v>39</v>
      </c>
      <c r="AF13">
        <v>25</v>
      </c>
      <c r="AG13" t="s">
        <v>387</v>
      </c>
    </row>
    <row r="14" spans="1:34" x14ac:dyDescent="0.25">
      <c r="A14">
        <v>268</v>
      </c>
      <c r="B14" t="s">
        <v>388</v>
      </c>
      <c r="C14" t="s">
        <v>389</v>
      </c>
      <c r="D14" t="s">
        <v>36</v>
      </c>
      <c r="Y14" t="s">
        <v>37</v>
      </c>
      <c r="Z14">
        <v>6</v>
      </c>
      <c r="AA14" s="82">
        <v>31769</v>
      </c>
      <c r="AC14" s="82">
        <v>23464</v>
      </c>
      <c r="AD14" t="s">
        <v>354</v>
      </c>
      <c r="AE14" t="s">
        <v>39</v>
      </c>
      <c r="AF14">
        <v>25</v>
      </c>
      <c r="AG14" t="s">
        <v>390</v>
      </c>
    </row>
    <row r="15" spans="1:34" x14ac:dyDescent="0.25">
      <c r="A15">
        <v>272</v>
      </c>
      <c r="B15" t="s">
        <v>391</v>
      </c>
      <c r="C15" t="s">
        <v>392</v>
      </c>
      <c r="D15" t="s">
        <v>36</v>
      </c>
      <c r="Y15" t="s">
        <v>37</v>
      </c>
      <c r="Z15">
        <v>7</v>
      </c>
      <c r="AA15" s="82">
        <v>31862</v>
      </c>
      <c r="AC15" s="82">
        <v>23496</v>
      </c>
      <c r="AD15" t="s">
        <v>354</v>
      </c>
      <c r="AE15" t="s">
        <v>39</v>
      </c>
      <c r="AF15">
        <v>25</v>
      </c>
      <c r="AG15" t="s">
        <v>380</v>
      </c>
    </row>
    <row r="16" spans="1:34" x14ac:dyDescent="0.25">
      <c r="A16">
        <v>295</v>
      </c>
      <c r="B16" t="s">
        <v>393</v>
      </c>
      <c r="C16" t="s">
        <v>106</v>
      </c>
      <c r="D16" t="s">
        <v>36</v>
      </c>
      <c r="Y16" t="s">
        <v>37</v>
      </c>
      <c r="Z16">
        <v>6</v>
      </c>
      <c r="AA16" s="82">
        <v>32398</v>
      </c>
      <c r="AC16" s="82">
        <v>23697</v>
      </c>
      <c r="AD16" t="s">
        <v>354</v>
      </c>
      <c r="AE16" t="s">
        <v>39</v>
      </c>
      <c r="AF16">
        <v>25</v>
      </c>
      <c r="AG16" t="s">
        <v>377</v>
      </c>
    </row>
    <row r="17" spans="1:33" x14ac:dyDescent="0.25">
      <c r="A17">
        <v>302</v>
      </c>
      <c r="B17" t="s">
        <v>41</v>
      </c>
      <c r="C17" t="s">
        <v>42</v>
      </c>
      <c r="D17" t="s">
        <v>36</v>
      </c>
      <c r="Y17" t="s">
        <v>37</v>
      </c>
      <c r="Z17">
        <v>1</v>
      </c>
      <c r="AA17" s="82">
        <v>32470</v>
      </c>
      <c r="AC17" s="82">
        <v>23923</v>
      </c>
      <c r="AD17" t="s">
        <v>354</v>
      </c>
      <c r="AE17" t="s">
        <v>39</v>
      </c>
      <c r="AF17">
        <v>25</v>
      </c>
      <c r="AG17" t="s">
        <v>394</v>
      </c>
    </row>
    <row r="18" spans="1:33" x14ac:dyDescent="0.25">
      <c r="A18">
        <v>309</v>
      </c>
      <c r="B18" t="s">
        <v>45</v>
      </c>
      <c r="C18" t="s">
        <v>46</v>
      </c>
      <c r="D18" t="s">
        <v>36</v>
      </c>
      <c r="Y18" t="s">
        <v>37</v>
      </c>
      <c r="Z18">
        <v>2</v>
      </c>
      <c r="AA18" s="82">
        <v>32539</v>
      </c>
      <c r="AC18" s="82">
        <v>25653</v>
      </c>
      <c r="AD18" t="s">
        <v>357</v>
      </c>
      <c r="AE18" t="s">
        <v>39</v>
      </c>
      <c r="AF18">
        <v>25</v>
      </c>
      <c r="AG18" t="s">
        <v>355</v>
      </c>
    </row>
    <row r="19" spans="1:33" x14ac:dyDescent="0.25">
      <c r="A19">
        <v>316</v>
      </c>
      <c r="B19" t="s">
        <v>395</v>
      </c>
      <c r="C19" t="s">
        <v>396</v>
      </c>
      <c r="D19" t="s">
        <v>36</v>
      </c>
      <c r="Y19" t="s">
        <v>55</v>
      </c>
      <c r="Z19">
        <v>9</v>
      </c>
      <c r="AA19" s="82">
        <v>32630</v>
      </c>
      <c r="AC19" s="82">
        <v>23558</v>
      </c>
      <c r="AD19" t="s">
        <v>354</v>
      </c>
      <c r="AE19" t="s">
        <v>39</v>
      </c>
      <c r="AF19">
        <v>25</v>
      </c>
      <c r="AG19" t="s">
        <v>397</v>
      </c>
    </row>
    <row r="20" spans="1:33" x14ac:dyDescent="0.25">
      <c r="A20">
        <v>320</v>
      </c>
      <c r="B20" t="s">
        <v>398</v>
      </c>
      <c r="C20" t="s">
        <v>99</v>
      </c>
      <c r="D20" t="s">
        <v>36</v>
      </c>
      <c r="Y20" t="s">
        <v>37</v>
      </c>
      <c r="Z20">
        <v>2</v>
      </c>
      <c r="AA20" s="82">
        <v>32727</v>
      </c>
      <c r="AC20" s="82">
        <v>23670</v>
      </c>
      <c r="AD20" t="s">
        <v>354</v>
      </c>
      <c r="AE20" t="s">
        <v>39</v>
      </c>
      <c r="AF20">
        <v>25</v>
      </c>
      <c r="AG20" t="s">
        <v>399</v>
      </c>
    </row>
    <row r="21" spans="1:33" x14ac:dyDescent="0.25">
      <c r="A21">
        <v>324</v>
      </c>
      <c r="B21" t="s">
        <v>48</v>
      </c>
      <c r="C21" t="s">
        <v>49</v>
      </c>
      <c r="D21" t="s">
        <v>36</v>
      </c>
      <c r="Y21" t="s">
        <v>37</v>
      </c>
      <c r="Z21">
        <v>4</v>
      </c>
      <c r="AA21" s="82">
        <v>32822</v>
      </c>
      <c r="AC21" s="82">
        <v>23892</v>
      </c>
      <c r="AD21" t="s">
        <v>354</v>
      </c>
      <c r="AE21" t="s">
        <v>39</v>
      </c>
      <c r="AF21">
        <v>25</v>
      </c>
      <c r="AG21" t="s">
        <v>397</v>
      </c>
    </row>
    <row r="22" spans="1:33" x14ac:dyDescent="0.25">
      <c r="A22">
        <v>325</v>
      </c>
      <c r="B22" t="s">
        <v>51</v>
      </c>
      <c r="C22" t="s">
        <v>52</v>
      </c>
      <c r="D22" t="s">
        <v>36</v>
      </c>
      <c r="Y22" t="s">
        <v>37</v>
      </c>
      <c r="Z22">
        <v>2</v>
      </c>
      <c r="AA22" s="82">
        <v>32822</v>
      </c>
      <c r="AC22" s="82">
        <v>24277</v>
      </c>
      <c r="AD22" t="s">
        <v>354</v>
      </c>
      <c r="AE22" t="s">
        <v>39</v>
      </c>
      <c r="AF22">
        <v>25</v>
      </c>
      <c r="AG22" t="s">
        <v>400</v>
      </c>
    </row>
    <row r="23" spans="1:33" x14ac:dyDescent="0.25">
      <c r="A23">
        <v>330</v>
      </c>
      <c r="B23" t="s">
        <v>401</v>
      </c>
      <c r="C23" t="s">
        <v>402</v>
      </c>
      <c r="D23" t="s">
        <v>36</v>
      </c>
      <c r="Y23" t="s">
        <v>55</v>
      </c>
      <c r="Z23">
        <v>11</v>
      </c>
      <c r="AA23" s="82">
        <v>32861</v>
      </c>
      <c r="AC23" s="82">
        <v>24148</v>
      </c>
      <c r="AD23" t="s">
        <v>354</v>
      </c>
      <c r="AE23" t="s">
        <v>39</v>
      </c>
      <c r="AF23">
        <v>25</v>
      </c>
      <c r="AG23" t="s">
        <v>383</v>
      </c>
    </row>
    <row r="24" spans="1:33" x14ac:dyDescent="0.25">
      <c r="A24">
        <v>332</v>
      </c>
      <c r="B24" t="s">
        <v>54</v>
      </c>
      <c r="C24" t="s">
        <v>42</v>
      </c>
      <c r="D24" t="s">
        <v>36</v>
      </c>
      <c r="Y24" t="s">
        <v>55</v>
      </c>
      <c r="Z24">
        <v>9</v>
      </c>
      <c r="AA24" s="82">
        <v>32898</v>
      </c>
      <c r="AC24" s="82">
        <v>26218</v>
      </c>
      <c r="AD24" t="s">
        <v>354</v>
      </c>
      <c r="AE24" t="s">
        <v>39</v>
      </c>
      <c r="AF24">
        <v>25</v>
      </c>
      <c r="AG24" t="s">
        <v>366</v>
      </c>
    </row>
    <row r="25" spans="1:33" x14ac:dyDescent="0.25">
      <c r="A25">
        <v>333</v>
      </c>
      <c r="B25" t="s">
        <v>57</v>
      </c>
      <c r="C25" t="s">
        <v>58</v>
      </c>
      <c r="D25" t="s">
        <v>36</v>
      </c>
      <c r="Y25" t="s">
        <v>55</v>
      </c>
      <c r="Z25">
        <v>5</v>
      </c>
      <c r="AA25" s="82">
        <v>32905</v>
      </c>
      <c r="AC25" s="82">
        <v>25435</v>
      </c>
      <c r="AD25" t="s">
        <v>354</v>
      </c>
      <c r="AE25" t="s">
        <v>39</v>
      </c>
      <c r="AF25">
        <v>25</v>
      </c>
      <c r="AG25" t="s">
        <v>400</v>
      </c>
    </row>
    <row r="26" spans="1:33" x14ac:dyDescent="0.25">
      <c r="A26">
        <v>334</v>
      </c>
      <c r="B26" t="s">
        <v>403</v>
      </c>
      <c r="C26" t="s">
        <v>91</v>
      </c>
      <c r="D26" t="s">
        <v>36</v>
      </c>
      <c r="Y26" t="s">
        <v>55</v>
      </c>
      <c r="Z26">
        <v>7</v>
      </c>
      <c r="AA26" s="82">
        <v>32905</v>
      </c>
      <c r="AC26" s="82">
        <v>24612</v>
      </c>
      <c r="AD26" t="s">
        <v>354</v>
      </c>
      <c r="AE26" t="s">
        <v>39</v>
      </c>
      <c r="AF26">
        <v>25</v>
      </c>
      <c r="AG26" t="s">
        <v>366</v>
      </c>
    </row>
    <row r="27" spans="1:33" x14ac:dyDescent="0.25">
      <c r="A27">
        <v>338</v>
      </c>
      <c r="B27" t="s">
        <v>59</v>
      </c>
      <c r="C27" t="s">
        <v>52</v>
      </c>
      <c r="D27" t="s">
        <v>36</v>
      </c>
      <c r="Y27" t="s">
        <v>37</v>
      </c>
      <c r="Z27">
        <v>4</v>
      </c>
      <c r="AA27" s="82">
        <v>33001</v>
      </c>
      <c r="AC27" s="82">
        <v>24284</v>
      </c>
      <c r="AD27" t="s">
        <v>354</v>
      </c>
      <c r="AE27" t="s">
        <v>39</v>
      </c>
      <c r="AF27">
        <v>25</v>
      </c>
      <c r="AG27" t="s">
        <v>366</v>
      </c>
    </row>
    <row r="28" spans="1:33" x14ac:dyDescent="0.25">
      <c r="A28">
        <v>341</v>
      </c>
      <c r="B28" t="s">
        <v>60</v>
      </c>
      <c r="C28" t="s">
        <v>61</v>
      </c>
      <c r="D28" t="s">
        <v>36</v>
      </c>
      <c r="Y28" t="s">
        <v>55</v>
      </c>
      <c r="Z28">
        <v>9</v>
      </c>
      <c r="AA28" s="82">
        <v>33072</v>
      </c>
      <c r="AC28" s="82">
        <v>24439</v>
      </c>
      <c r="AD28" t="s">
        <v>354</v>
      </c>
      <c r="AE28" t="s">
        <v>39</v>
      </c>
      <c r="AF28">
        <v>25</v>
      </c>
      <c r="AG28" t="s">
        <v>400</v>
      </c>
    </row>
    <row r="29" spans="1:33" x14ac:dyDescent="0.25">
      <c r="A29">
        <v>344</v>
      </c>
      <c r="B29" t="s">
        <v>62</v>
      </c>
      <c r="C29" t="s">
        <v>42</v>
      </c>
      <c r="D29" t="s">
        <v>36</v>
      </c>
      <c r="Y29" t="s">
        <v>37</v>
      </c>
      <c r="Z29">
        <v>3</v>
      </c>
      <c r="AA29" s="82">
        <v>33085</v>
      </c>
      <c r="AC29" s="82">
        <v>24038</v>
      </c>
      <c r="AD29" t="s">
        <v>354</v>
      </c>
      <c r="AE29" t="s">
        <v>39</v>
      </c>
      <c r="AF29">
        <v>25</v>
      </c>
      <c r="AG29" t="s">
        <v>355</v>
      </c>
    </row>
    <row r="30" spans="1:33" x14ac:dyDescent="0.25">
      <c r="A30">
        <v>346</v>
      </c>
      <c r="B30" t="s">
        <v>404</v>
      </c>
      <c r="C30" t="s">
        <v>405</v>
      </c>
      <c r="D30" t="s">
        <v>36</v>
      </c>
      <c r="Y30" t="s">
        <v>37</v>
      </c>
      <c r="Z30">
        <v>1</v>
      </c>
      <c r="AA30" s="82">
        <v>33141</v>
      </c>
      <c r="AC30" s="82">
        <v>24111</v>
      </c>
      <c r="AD30" t="s">
        <v>354</v>
      </c>
      <c r="AE30" t="s">
        <v>39</v>
      </c>
      <c r="AF30">
        <v>25</v>
      </c>
      <c r="AG30" t="s">
        <v>406</v>
      </c>
    </row>
    <row r="31" spans="1:33" x14ac:dyDescent="0.25">
      <c r="A31">
        <v>347</v>
      </c>
      <c r="B31" t="s">
        <v>63</v>
      </c>
      <c r="C31" t="s">
        <v>64</v>
      </c>
      <c r="D31" t="s">
        <v>36</v>
      </c>
      <c r="Y31" t="s">
        <v>37</v>
      </c>
      <c r="Z31">
        <v>4</v>
      </c>
      <c r="AA31" s="82">
        <v>33148</v>
      </c>
      <c r="AC31" s="82">
        <v>24867</v>
      </c>
      <c r="AD31" t="s">
        <v>354</v>
      </c>
      <c r="AE31" t="s">
        <v>39</v>
      </c>
      <c r="AF31">
        <v>25</v>
      </c>
      <c r="AG31" t="s">
        <v>407</v>
      </c>
    </row>
    <row r="32" spans="1:33" x14ac:dyDescent="0.25">
      <c r="A32">
        <v>354</v>
      </c>
      <c r="B32" t="s">
        <v>66</v>
      </c>
      <c r="C32" t="s">
        <v>67</v>
      </c>
      <c r="D32" t="s">
        <v>36</v>
      </c>
      <c r="Y32" t="s">
        <v>55</v>
      </c>
      <c r="Z32">
        <v>7</v>
      </c>
      <c r="AA32" s="82">
        <v>33233</v>
      </c>
      <c r="AC32" s="82">
        <v>23867</v>
      </c>
      <c r="AD32" t="s">
        <v>356</v>
      </c>
      <c r="AE32" t="s">
        <v>39</v>
      </c>
      <c r="AF32">
        <v>25</v>
      </c>
      <c r="AG32" t="s">
        <v>394</v>
      </c>
    </row>
    <row r="33" spans="1:33" x14ac:dyDescent="0.25">
      <c r="A33">
        <v>355</v>
      </c>
      <c r="B33" t="s">
        <v>69</v>
      </c>
      <c r="C33" t="s">
        <v>70</v>
      </c>
      <c r="D33" t="s">
        <v>36</v>
      </c>
      <c r="Y33" t="s">
        <v>37</v>
      </c>
      <c r="Z33">
        <v>5</v>
      </c>
      <c r="AA33" s="82">
        <v>33246</v>
      </c>
      <c r="AC33" s="82">
        <v>24324</v>
      </c>
      <c r="AD33" t="s">
        <v>354</v>
      </c>
      <c r="AE33" t="s">
        <v>39</v>
      </c>
      <c r="AF33">
        <v>25</v>
      </c>
      <c r="AG33" t="s">
        <v>408</v>
      </c>
    </row>
    <row r="34" spans="1:33" x14ac:dyDescent="0.25">
      <c r="A34">
        <v>356</v>
      </c>
      <c r="B34" t="s">
        <v>72</v>
      </c>
      <c r="C34" t="s">
        <v>46</v>
      </c>
      <c r="D34" t="s">
        <v>36</v>
      </c>
      <c r="Y34" t="s">
        <v>37</v>
      </c>
      <c r="Z34">
        <v>3</v>
      </c>
      <c r="AA34" s="82">
        <v>33287</v>
      </c>
      <c r="AC34" s="82">
        <v>25263</v>
      </c>
      <c r="AD34" t="s">
        <v>354</v>
      </c>
      <c r="AE34" t="s">
        <v>39</v>
      </c>
      <c r="AF34">
        <v>25</v>
      </c>
      <c r="AG34" t="s">
        <v>366</v>
      </c>
    </row>
    <row r="35" spans="1:33" x14ac:dyDescent="0.25">
      <c r="A35">
        <v>357</v>
      </c>
      <c r="B35" t="s">
        <v>73</v>
      </c>
      <c r="C35" t="s">
        <v>74</v>
      </c>
      <c r="D35" t="s">
        <v>36</v>
      </c>
      <c r="Y35" t="s">
        <v>37</v>
      </c>
      <c r="Z35">
        <v>5</v>
      </c>
      <c r="AA35" s="82">
        <v>33288</v>
      </c>
      <c r="AC35" s="82">
        <v>24627</v>
      </c>
      <c r="AD35" t="s">
        <v>354</v>
      </c>
      <c r="AE35" t="s">
        <v>39</v>
      </c>
      <c r="AF35">
        <v>25</v>
      </c>
      <c r="AG35" t="s">
        <v>373</v>
      </c>
    </row>
    <row r="36" spans="1:33" x14ac:dyDescent="0.25">
      <c r="A36">
        <v>359</v>
      </c>
      <c r="B36" t="s">
        <v>409</v>
      </c>
      <c r="C36" t="s">
        <v>410</v>
      </c>
      <c r="D36" t="s">
        <v>36</v>
      </c>
      <c r="Y36" t="s">
        <v>55</v>
      </c>
      <c r="Z36">
        <v>6</v>
      </c>
      <c r="AA36" s="82">
        <v>33295</v>
      </c>
      <c r="AC36" s="82">
        <v>24108</v>
      </c>
      <c r="AD36" t="s">
        <v>354</v>
      </c>
      <c r="AE36" t="s">
        <v>39</v>
      </c>
      <c r="AF36">
        <v>25</v>
      </c>
      <c r="AG36" t="s">
        <v>400</v>
      </c>
    </row>
    <row r="37" spans="1:33" x14ac:dyDescent="0.25">
      <c r="A37">
        <v>363</v>
      </c>
      <c r="B37" t="s">
        <v>76</v>
      </c>
      <c r="C37" t="s">
        <v>77</v>
      </c>
      <c r="D37" t="s">
        <v>36</v>
      </c>
      <c r="Y37" t="s">
        <v>55</v>
      </c>
      <c r="Z37">
        <v>9</v>
      </c>
      <c r="AA37" s="82">
        <v>33525</v>
      </c>
      <c r="AC37" s="82">
        <v>23911</v>
      </c>
      <c r="AD37" t="s">
        <v>354</v>
      </c>
      <c r="AE37" t="s">
        <v>39</v>
      </c>
      <c r="AF37">
        <v>25</v>
      </c>
      <c r="AG37" t="s">
        <v>366</v>
      </c>
    </row>
    <row r="38" spans="1:33" x14ac:dyDescent="0.25">
      <c r="A38">
        <v>364</v>
      </c>
      <c r="B38" t="s">
        <v>78</v>
      </c>
      <c r="C38" t="s">
        <v>79</v>
      </c>
      <c r="D38" t="s">
        <v>36</v>
      </c>
      <c r="Y38" t="s">
        <v>55</v>
      </c>
      <c r="Z38">
        <v>9</v>
      </c>
      <c r="AA38" s="82">
        <v>33589</v>
      </c>
      <c r="AC38" s="82">
        <v>25498</v>
      </c>
      <c r="AD38" t="s">
        <v>354</v>
      </c>
      <c r="AE38" t="s">
        <v>39</v>
      </c>
      <c r="AF38">
        <v>25</v>
      </c>
      <c r="AG38" t="s">
        <v>397</v>
      </c>
    </row>
    <row r="39" spans="1:33" x14ac:dyDescent="0.25">
      <c r="A39">
        <v>367</v>
      </c>
      <c r="B39" t="s">
        <v>80</v>
      </c>
      <c r="C39" t="s">
        <v>81</v>
      </c>
      <c r="D39" t="s">
        <v>36</v>
      </c>
      <c r="Y39" t="s">
        <v>37</v>
      </c>
      <c r="Z39">
        <v>4</v>
      </c>
      <c r="AA39" s="82">
        <v>33637</v>
      </c>
      <c r="AC39" s="82">
        <v>25494</v>
      </c>
      <c r="AD39" t="s">
        <v>354</v>
      </c>
      <c r="AE39" t="s">
        <v>39</v>
      </c>
      <c r="AF39">
        <v>25</v>
      </c>
      <c r="AG39" t="s">
        <v>377</v>
      </c>
    </row>
    <row r="40" spans="1:33" x14ac:dyDescent="0.25">
      <c r="A40">
        <v>368</v>
      </c>
      <c r="B40" t="s">
        <v>83</v>
      </c>
      <c r="C40" t="s">
        <v>84</v>
      </c>
      <c r="D40" t="s">
        <v>36</v>
      </c>
      <c r="Y40" t="s">
        <v>37</v>
      </c>
      <c r="Z40">
        <v>2</v>
      </c>
      <c r="AA40" s="82">
        <v>33637</v>
      </c>
      <c r="AC40" s="82">
        <v>25369</v>
      </c>
      <c r="AD40" t="s">
        <v>354</v>
      </c>
      <c r="AE40" t="s">
        <v>39</v>
      </c>
      <c r="AF40">
        <v>25</v>
      </c>
      <c r="AG40" t="s">
        <v>397</v>
      </c>
    </row>
    <row r="41" spans="1:33" x14ac:dyDescent="0.25">
      <c r="A41">
        <v>372</v>
      </c>
      <c r="B41" t="s">
        <v>85</v>
      </c>
      <c r="C41" t="s">
        <v>86</v>
      </c>
      <c r="D41" t="s">
        <v>36</v>
      </c>
      <c r="Y41" t="s">
        <v>55</v>
      </c>
      <c r="Z41">
        <v>10</v>
      </c>
      <c r="AA41" s="82">
        <v>33948</v>
      </c>
      <c r="AC41" s="82">
        <v>27210</v>
      </c>
      <c r="AD41" t="s">
        <v>354</v>
      </c>
      <c r="AE41" t="s">
        <v>39</v>
      </c>
      <c r="AF41">
        <v>25</v>
      </c>
      <c r="AG41" t="s">
        <v>411</v>
      </c>
    </row>
    <row r="42" spans="1:33" x14ac:dyDescent="0.25">
      <c r="A42">
        <v>380</v>
      </c>
      <c r="B42" t="s">
        <v>88</v>
      </c>
      <c r="C42" t="s">
        <v>89</v>
      </c>
      <c r="D42" t="s">
        <v>36</v>
      </c>
      <c r="Y42" t="s">
        <v>55</v>
      </c>
      <c r="Z42">
        <v>8</v>
      </c>
      <c r="AA42" s="82">
        <v>33953</v>
      </c>
      <c r="AC42" s="82">
        <v>26109</v>
      </c>
      <c r="AD42" t="s">
        <v>354</v>
      </c>
      <c r="AE42" t="s">
        <v>39</v>
      </c>
      <c r="AF42">
        <v>25</v>
      </c>
      <c r="AG42" t="s">
        <v>374</v>
      </c>
    </row>
    <row r="43" spans="1:33" x14ac:dyDescent="0.25">
      <c r="A43">
        <v>393</v>
      </c>
      <c r="B43" t="s">
        <v>90</v>
      </c>
      <c r="C43" t="s">
        <v>91</v>
      </c>
      <c r="D43" t="s">
        <v>36</v>
      </c>
      <c r="Y43" t="s">
        <v>37</v>
      </c>
      <c r="Z43">
        <v>4</v>
      </c>
      <c r="AA43" s="82">
        <v>34554</v>
      </c>
      <c r="AC43" s="82">
        <v>25165</v>
      </c>
      <c r="AD43" t="s">
        <v>354</v>
      </c>
      <c r="AE43" t="s">
        <v>39</v>
      </c>
      <c r="AF43">
        <v>25</v>
      </c>
      <c r="AG43" t="s">
        <v>371</v>
      </c>
    </row>
    <row r="44" spans="1:33" x14ac:dyDescent="0.25">
      <c r="A44">
        <v>455</v>
      </c>
      <c r="B44" t="s">
        <v>93</v>
      </c>
      <c r="C44" t="s">
        <v>94</v>
      </c>
      <c r="D44" t="s">
        <v>36</v>
      </c>
      <c r="Y44" t="s">
        <v>55</v>
      </c>
      <c r="Z44" t="s">
        <v>356</v>
      </c>
      <c r="AA44" s="82">
        <v>35947</v>
      </c>
      <c r="AC44" s="82">
        <v>24750</v>
      </c>
      <c r="AD44" t="s">
        <v>356</v>
      </c>
      <c r="AE44" t="s">
        <v>39</v>
      </c>
      <c r="AF44">
        <v>20</v>
      </c>
      <c r="AG44" t="s">
        <v>397</v>
      </c>
    </row>
    <row r="45" spans="1:33" x14ac:dyDescent="0.25">
      <c r="A45">
        <v>456</v>
      </c>
      <c r="B45" t="s">
        <v>95</v>
      </c>
      <c r="C45" t="s">
        <v>96</v>
      </c>
      <c r="D45" t="s">
        <v>36</v>
      </c>
      <c r="Y45" t="s">
        <v>55</v>
      </c>
      <c r="Z45" t="s">
        <v>356</v>
      </c>
      <c r="AA45" s="82">
        <v>35947</v>
      </c>
      <c r="AC45" s="82">
        <v>26344</v>
      </c>
      <c r="AD45" t="s">
        <v>354</v>
      </c>
      <c r="AE45" t="s">
        <v>39</v>
      </c>
      <c r="AF45">
        <v>20</v>
      </c>
      <c r="AG45" t="s">
        <v>355</v>
      </c>
    </row>
    <row r="46" spans="1:33" x14ac:dyDescent="0.25">
      <c r="A46">
        <v>458</v>
      </c>
      <c r="B46" t="s">
        <v>97</v>
      </c>
      <c r="C46" t="s">
        <v>46</v>
      </c>
      <c r="D46" t="s">
        <v>36</v>
      </c>
      <c r="Y46" t="s">
        <v>55</v>
      </c>
      <c r="Z46" t="s">
        <v>356</v>
      </c>
      <c r="AA46" s="82">
        <v>35947</v>
      </c>
      <c r="AC46" s="82">
        <v>26186</v>
      </c>
      <c r="AD46" t="s">
        <v>354</v>
      </c>
      <c r="AE46" t="s">
        <v>39</v>
      </c>
      <c r="AF46">
        <v>20</v>
      </c>
      <c r="AG46" t="s">
        <v>373</v>
      </c>
    </row>
    <row r="47" spans="1:33" x14ac:dyDescent="0.25">
      <c r="A47">
        <v>459</v>
      </c>
      <c r="B47" t="s">
        <v>98</v>
      </c>
      <c r="C47" t="s">
        <v>99</v>
      </c>
      <c r="D47" t="s">
        <v>36</v>
      </c>
      <c r="Y47" t="s">
        <v>55</v>
      </c>
      <c r="Z47" t="s">
        <v>356</v>
      </c>
      <c r="AA47" s="82">
        <v>35947</v>
      </c>
      <c r="AC47" s="82">
        <v>25913</v>
      </c>
      <c r="AD47" t="s">
        <v>354</v>
      </c>
      <c r="AE47" t="s">
        <v>39</v>
      </c>
      <c r="AF47">
        <v>20</v>
      </c>
      <c r="AG47" t="s">
        <v>412</v>
      </c>
    </row>
    <row r="48" spans="1:33" x14ac:dyDescent="0.25">
      <c r="A48">
        <v>460</v>
      </c>
      <c r="B48" t="s">
        <v>413</v>
      </c>
      <c r="C48" t="s">
        <v>414</v>
      </c>
      <c r="D48" t="s">
        <v>36</v>
      </c>
      <c r="Y48" t="s">
        <v>55</v>
      </c>
      <c r="Z48" t="s">
        <v>356</v>
      </c>
      <c r="AA48" s="82">
        <v>35947</v>
      </c>
      <c r="AC48" s="82">
        <v>23205</v>
      </c>
      <c r="AD48" t="s">
        <v>354</v>
      </c>
      <c r="AE48" t="s">
        <v>39</v>
      </c>
      <c r="AF48">
        <v>20</v>
      </c>
      <c r="AG48" t="s">
        <v>368</v>
      </c>
    </row>
    <row r="49" spans="1:33" x14ac:dyDescent="0.25">
      <c r="A49">
        <v>462</v>
      </c>
      <c r="B49" t="s">
        <v>101</v>
      </c>
      <c r="C49" t="s">
        <v>42</v>
      </c>
      <c r="D49" t="s">
        <v>36</v>
      </c>
      <c r="Y49" t="s">
        <v>37</v>
      </c>
      <c r="Z49" t="s">
        <v>357</v>
      </c>
      <c r="AA49" s="82">
        <v>35947</v>
      </c>
      <c r="AC49" s="82">
        <v>26404</v>
      </c>
      <c r="AD49" t="s">
        <v>354</v>
      </c>
      <c r="AE49" t="s">
        <v>39</v>
      </c>
      <c r="AF49">
        <v>20</v>
      </c>
      <c r="AG49" t="s">
        <v>412</v>
      </c>
    </row>
    <row r="50" spans="1:33" x14ac:dyDescent="0.25">
      <c r="A50">
        <v>464</v>
      </c>
      <c r="B50" t="s">
        <v>102</v>
      </c>
      <c r="C50" t="s">
        <v>52</v>
      </c>
      <c r="D50" t="s">
        <v>36</v>
      </c>
      <c r="Y50" t="s">
        <v>55</v>
      </c>
      <c r="Z50" t="s">
        <v>356</v>
      </c>
      <c r="AA50" s="82">
        <v>35947</v>
      </c>
      <c r="AC50" s="82">
        <v>25361</v>
      </c>
      <c r="AD50" t="s">
        <v>354</v>
      </c>
      <c r="AE50" t="s">
        <v>39</v>
      </c>
      <c r="AF50">
        <v>20</v>
      </c>
      <c r="AG50" t="s">
        <v>415</v>
      </c>
    </row>
    <row r="51" spans="1:33" x14ac:dyDescent="0.25">
      <c r="A51">
        <v>466</v>
      </c>
      <c r="B51" t="s">
        <v>104</v>
      </c>
      <c r="C51" t="s">
        <v>79</v>
      </c>
      <c r="D51" t="s">
        <v>36</v>
      </c>
      <c r="Y51" t="s">
        <v>55</v>
      </c>
      <c r="Z51" t="s">
        <v>356</v>
      </c>
      <c r="AA51" s="82">
        <v>35996</v>
      </c>
      <c r="AC51" s="82">
        <v>27373</v>
      </c>
      <c r="AD51" t="s">
        <v>354</v>
      </c>
      <c r="AE51" t="s">
        <v>39</v>
      </c>
      <c r="AF51">
        <v>20</v>
      </c>
      <c r="AG51" t="s">
        <v>407</v>
      </c>
    </row>
    <row r="52" spans="1:33" x14ac:dyDescent="0.25">
      <c r="A52">
        <v>467</v>
      </c>
      <c r="B52" t="s">
        <v>105</v>
      </c>
      <c r="C52" t="s">
        <v>106</v>
      </c>
      <c r="D52" t="s">
        <v>36</v>
      </c>
      <c r="Y52" t="s">
        <v>55</v>
      </c>
      <c r="Z52" t="s">
        <v>356</v>
      </c>
      <c r="AA52" s="82">
        <v>35996</v>
      </c>
      <c r="AC52" s="82">
        <v>25617</v>
      </c>
      <c r="AD52" t="s">
        <v>354</v>
      </c>
      <c r="AE52" t="s">
        <v>39</v>
      </c>
      <c r="AF52">
        <v>20</v>
      </c>
      <c r="AG52" t="s">
        <v>397</v>
      </c>
    </row>
    <row r="53" spans="1:33" x14ac:dyDescent="0.25">
      <c r="A53">
        <v>468</v>
      </c>
      <c r="B53" t="s">
        <v>107</v>
      </c>
      <c r="C53" t="s">
        <v>108</v>
      </c>
      <c r="D53" t="s">
        <v>36</v>
      </c>
      <c r="Y53" t="s">
        <v>55</v>
      </c>
      <c r="Z53" t="s">
        <v>353</v>
      </c>
      <c r="AA53" s="82">
        <v>35996</v>
      </c>
      <c r="AC53" s="82">
        <v>24066</v>
      </c>
      <c r="AD53" t="s">
        <v>354</v>
      </c>
      <c r="AE53" t="s">
        <v>39</v>
      </c>
      <c r="AF53">
        <v>20</v>
      </c>
      <c r="AG53" t="s">
        <v>366</v>
      </c>
    </row>
    <row r="54" spans="1:33" x14ac:dyDescent="0.25">
      <c r="A54">
        <v>469</v>
      </c>
      <c r="B54" t="s">
        <v>107</v>
      </c>
      <c r="C54" t="s">
        <v>106</v>
      </c>
      <c r="D54" t="s">
        <v>36</v>
      </c>
      <c r="Y54" t="s">
        <v>55</v>
      </c>
      <c r="Z54" t="s">
        <v>356</v>
      </c>
      <c r="AA54" s="82">
        <v>35996</v>
      </c>
      <c r="AC54" s="82">
        <v>25246</v>
      </c>
      <c r="AD54" t="s">
        <v>354</v>
      </c>
      <c r="AE54" t="s">
        <v>39</v>
      </c>
      <c r="AF54">
        <v>20</v>
      </c>
      <c r="AG54" t="s">
        <v>366</v>
      </c>
    </row>
    <row r="55" spans="1:33" x14ac:dyDescent="0.25">
      <c r="A55">
        <v>470</v>
      </c>
      <c r="B55" t="s">
        <v>109</v>
      </c>
      <c r="C55" t="s">
        <v>110</v>
      </c>
      <c r="D55" t="s">
        <v>36</v>
      </c>
      <c r="Y55" t="s">
        <v>55</v>
      </c>
      <c r="Z55" t="s">
        <v>356</v>
      </c>
      <c r="AA55" s="82">
        <v>35996</v>
      </c>
      <c r="AC55" s="82">
        <v>26846</v>
      </c>
      <c r="AD55" t="s">
        <v>354</v>
      </c>
      <c r="AE55" t="s">
        <v>39</v>
      </c>
      <c r="AF55">
        <v>20</v>
      </c>
      <c r="AG55" t="s">
        <v>397</v>
      </c>
    </row>
    <row r="56" spans="1:33" x14ac:dyDescent="0.25">
      <c r="A56">
        <v>471</v>
      </c>
      <c r="B56" t="s">
        <v>111</v>
      </c>
      <c r="C56" t="s">
        <v>99</v>
      </c>
      <c r="D56" t="s">
        <v>36</v>
      </c>
      <c r="Y56" t="s">
        <v>37</v>
      </c>
      <c r="Z56" t="s">
        <v>357</v>
      </c>
      <c r="AA56" s="82">
        <v>35996</v>
      </c>
      <c r="AC56" s="82">
        <v>28446</v>
      </c>
      <c r="AD56" t="s">
        <v>354</v>
      </c>
      <c r="AE56" t="s">
        <v>39</v>
      </c>
      <c r="AF56">
        <v>20</v>
      </c>
      <c r="AG56" t="s">
        <v>371</v>
      </c>
    </row>
    <row r="57" spans="1:33" x14ac:dyDescent="0.25">
      <c r="A57">
        <v>472</v>
      </c>
      <c r="B57" t="s">
        <v>112</v>
      </c>
      <c r="C57" t="s">
        <v>106</v>
      </c>
      <c r="D57" t="s">
        <v>36</v>
      </c>
      <c r="Y57" t="s">
        <v>55</v>
      </c>
      <c r="Z57" t="s">
        <v>356</v>
      </c>
      <c r="AA57" s="82">
        <v>35996</v>
      </c>
      <c r="AC57" s="82">
        <v>24869</v>
      </c>
      <c r="AD57" t="s">
        <v>354</v>
      </c>
      <c r="AE57" t="s">
        <v>39</v>
      </c>
      <c r="AF57">
        <v>20</v>
      </c>
      <c r="AG57" t="s">
        <v>397</v>
      </c>
    </row>
    <row r="58" spans="1:33" x14ac:dyDescent="0.25">
      <c r="A58">
        <v>473</v>
      </c>
      <c r="B58" t="s">
        <v>113</v>
      </c>
      <c r="C58" t="s">
        <v>106</v>
      </c>
      <c r="D58" t="s">
        <v>36</v>
      </c>
      <c r="Y58" t="s">
        <v>37</v>
      </c>
      <c r="Z58" t="s">
        <v>360</v>
      </c>
      <c r="AA58" s="82">
        <v>35996</v>
      </c>
      <c r="AC58" s="82">
        <v>24920</v>
      </c>
      <c r="AD58" t="s">
        <v>356</v>
      </c>
      <c r="AE58" t="s">
        <v>39</v>
      </c>
      <c r="AF58">
        <v>20</v>
      </c>
      <c r="AG58" t="s">
        <v>394</v>
      </c>
    </row>
    <row r="59" spans="1:33" x14ac:dyDescent="0.25">
      <c r="A59">
        <v>475</v>
      </c>
      <c r="B59" t="s">
        <v>114</v>
      </c>
      <c r="C59" t="s">
        <v>42</v>
      </c>
      <c r="D59" t="s">
        <v>36</v>
      </c>
      <c r="Y59" t="s">
        <v>55</v>
      </c>
      <c r="Z59" t="s">
        <v>356</v>
      </c>
      <c r="AA59" s="82">
        <v>35996</v>
      </c>
      <c r="AC59" s="82">
        <v>26480</v>
      </c>
      <c r="AD59" t="s">
        <v>354</v>
      </c>
      <c r="AE59" t="s">
        <v>39</v>
      </c>
      <c r="AF59">
        <v>20</v>
      </c>
      <c r="AG59" t="s">
        <v>400</v>
      </c>
    </row>
    <row r="60" spans="1:33" x14ac:dyDescent="0.25">
      <c r="A60">
        <v>476</v>
      </c>
      <c r="B60" t="s">
        <v>115</v>
      </c>
      <c r="C60" t="s">
        <v>42</v>
      </c>
      <c r="D60" t="s">
        <v>36</v>
      </c>
      <c r="Y60" t="s">
        <v>55</v>
      </c>
      <c r="Z60" t="s">
        <v>356</v>
      </c>
      <c r="AA60" s="82">
        <v>35996</v>
      </c>
      <c r="AC60" s="82">
        <v>27356</v>
      </c>
      <c r="AD60" t="s">
        <v>354</v>
      </c>
      <c r="AE60" t="s">
        <v>39</v>
      </c>
      <c r="AF60">
        <v>20</v>
      </c>
      <c r="AG60" t="s">
        <v>397</v>
      </c>
    </row>
    <row r="61" spans="1:33" x14ac:dyDescent="0.25">
      <c r="A61">
        <v>477</v>
      </c>
      <c r="B61" t="s">
        <v>116</v>
      </c>
      <c r="C61" t="s">
        <v>117</v>
      </c>
      <c r="D61" t="s">
        <v>36</v>
      </c>
      <c r="Y61" t="s">
        <v>55</v>
      </c>
      <c r="Z61" t="s">
        <v>356</v>
      </c>
      <c r="AA61" s="82">
        <v>35996</v>
      </c>
      <c r="AC61" s="82">
        <v>26554</v>
      </c>
      <c r="AD61" t="s">
        <v>354</v>
      </c>
      <c r="AE61" t="s">
        <v>39</v>
      </c>
      <c r="AF61">
        <v>20</v>
      </c>
      <c r="AG61" t="s">
        <v>397</v>
      </c>
    </row>
    <row r="62" spans="1:33" x14ac:dyDescent="0.25">
      <c r="A62">
        <v>479</v>
      </c>
      <c r="B62" t="s">
        <v>118</v>
      </c>
      <c r="C62" t="s">
        <v>119</v>
      </c>
      <c r="D62" t="s">
        <v>36</v>
      </c>
      <c r="Y62" t="s">
        <v>55</v>
      </c>
      <c r="Z62" t="s">
        <v>356</v>
      </c>
      <c r="AA62" s="82">
        <v>35996</v>
      </c>
      <c r="AC62" s="82">
        <v>26337</v>
      </c>
      <c r="AD62" t="s">
        <v>354</v>
      </c>
      <c r="AE62" t="s">
        <v>39</v>
      </c>
      <c r="AF62">
        <v>20</v>
      </c>
      <c r="AG62" t="s">
        <v>371</v>
      </c>
    </row>
    <row r="63" spans="1:33" x14ac:dyDescent="0.25">
      <c r="A63">
        <v>480</v>
      </c>
      <c r="B63" t="s">
        <v>120</v>
      </c>
      <c r="C63" t="s">
        <v>84</v>
      </c>
      <c r="D63" t="s">
        <v>36</v>
      </c>
      <c r="Y63" t="s">
        <v>55</v>
      </c>
      <c r="Z63" t="s">
        <v>356</v>
      </c>
      <c r="AA63" s="82">
        <v>35996</v>
      </c>
      <c r="AC63" s="82">
        <v>26849</v>
      </c>
      <c r="AD63" t="s">
        <v>354</v>
      </c>
      <c r="AE63" t="s">
        <v>39</v>
      </c>
      <c r="AF63">
        <v>20</v>
      </c>
      <c r="AG63" t="s">
        <v>397</v>
      </c>
    </row>
    <row r="64" spans="1:33" x14ac:dyDescent="0.25">
      <c r="A64">
        <v>484</v>
      </c>
      <c r="B64" t="s">
        <v>121</v>
      </c>
      <c r="C64" t="s">
        <v>42</v>
      </c>
      <c r="D64" t="s">
        <v>36</v>
      </c>
      <c r="Y64" t="s">
        <v>55</v>
      </c>
      <c r="Z64" t="s">
        <v>356</v>
      </c>
      <c r="AA64" s="82">
        <v>35996</v>
      </c>
      <c r="AC64" s="82">
        <v>27087</v>
      </c>
      <c r="AD64" t="s">
        <v>354</v>
      </c>
      <c r="AE64" t="s">
        <v>39</v>
      </c>
      <c r="AF64">
        <v>20</v>
      </c>
      <c r="AG64" t="s">
        <v>407</v>
      </c>
    </row>
    <row r="65" spans="1:33" x14ac:dyDescent="0.25">
      <c r="A65">
        <v>485</v>
      </c>
      <c r="B65" t="s">
        <v>122</v>
      </c>
      <c r="C65" t="s">
        <v>123</v>
      </c>
      <c r="D65" t="s">
        <v>36</v>
      </c>
      <c r="Y65" t="s">
        <v>55</v>
      </c>
      <c r="Z65" t="s">
        <v>356</v>
      </c>
      <c r="AA65" s="82">
        <v>35996</v>
      </c>
      <c r="AC65" s="82">
        <v>24958</v>
      </c>
      <c r="AD65" t="s">
        <v>354</v>
      </c>
      <c r="AE65" t="s">
        <v>39</v>
      </c>
      <c r="AF65">
        <v>20</v>
      </c>
      <c r="AG65" t="s">
        <v>397</v>
      </c>
    </row>
    <row r="66" spans="1:33" x14ac:dyDescent="0.25">
      <c r="A66">
        <v>487</v>
      </c>
      <c r="B66" t="s">
        <v>124</v>
      </c>
      <c r="C66" t="s">
        <v>125</v>
      </c>
      <c r="D66" t="s">
        <v>36</v>
      </c>
      <c r="Y66" t="s">
        <v>55</v>
      </c>
      <c r="Z66" t="s">
        <v>356</v>
      </c>
      <c r="AA66" s="82">
        <v>35996</v>
      </c>
      <c r="AC66" s="82">
        <v>25019</v>
      </c>
      <c r="AD66" t="s">
        <v>354</v>
      </c>
      <c r="AE66" t="s">
        <v>39</v>
      </c>
      <c r="AF66">
        <v>20</v>
      </c>
      <c r="AG66" t="s">
        <v>397</v>
      </c>
    </row>
    <row r="67" spans="1:33" x14ac:dyDescent="0.25">
      <c r="A67">
        <v>488</v>
      </c>
      <c r="B67" t="s">
        <v>416</v>
      </c>
      <c r="C67" t="s">
        <v>42</v>
      </c>
      <c r="D67" t="s">
        <v>36</v>
      </c>
      <c r="Y67" t="s">
        <v>55</v>
      </c>
      <c r="Z67" t="s">
        <v>356</v>
      </c>
      <c r="AA67" s="82">
        <v>35996</v>
      </c>
      <c r="AC67" s="82">
        <v>23192</v>
      </c>
      <c r="AD67" t="s">
        <v>354</v>
      </c>
      <c r="AE67" t="s">
        <v>39</v>
      </c>
      <c r="AF67">
        <v>20</v>
      </c>
      <c r="AG67" t="s">
        <v>374</v>
      </c>
    </row>
    <row r="68" spans="1:33" x14ac:dyDescent="0.25">
      <c r="A68">
        <v>489</v>
      </c>
      <c r="B68" t="s">
        <v>417</v>
      </c>
      <c r="C68" t="s">
        <v>418</v>
      </c>
      <c r="D68" t="s">
        <v>36</v>
      </c>
      <c r="Y68" t="s">
        <v>55</v>
      </c>
      <c r="Z68" t="s">
        <v>353</v>
      </c>
      <c r="AA68" s="82">
        <v>35996</v>
      </c>
      <c r="AC68" s="82">
        <v>24733</v>
      </c>
      <c r="AD68" t="s">
        <v>354</v>
      </c>
      <c r="AE68" t="s">
        <v>39</v>
      </c>
      <c r="AF68">
        <v>20</v>
      </c>
      <c r="AG68" t="s">
        <v>366</v>
      </c>
    </row>
    <row r="69" spans="1:33" x14ac:dyDescent="0.25">
      <c r="A69">
        <v>490</v>
      </c>
      <c r="B69" t="s">
        <v>126</v>
      </c>
      <c r="C69" t="s">
        <v>127</v>
      </c>
      <c r="D69" t="s">
        <v>36</v>
      </c>
      <c r="Y69" t="s">
        <v>55</v>
      </c>
      <c r="Z69" t="s">
        <v>356</v>
      </c>
      <c r="AA69" s="82">
        <v>35996</v>
      </c>
      <c r="AC69" s="82">
        <v>27529</v>
      </c>
      <c r="AD69" t="s">
        <v>354</v>
      </c>
      <c r="AE69" t="s">
        <v>39</v>
      </c>
      <c r="AF69">
        <v>20</v>
      </c>
      <c r="AG69" t="s">
        <v>377</v>
      </c>
    </row>
    <row r="70" spans="1:33" x14ac:dyDescent="0.25">
      <c r="A70">
        <v>491</v>
      </c>
      <c r="B70" t="s">
        <v>128</v>
      </c>
      <c r="C70" t="s">
        <v>49</v>
      </c>
      <c r="D70" t="s">
        <v>36</v>
      </c>
      <c r="Y70" t="s">
        <v>55</v>
      </c>
      <c r="Z70" t="s">
        <v>356</v>
      </c>
      <c r="AA70" s="82">
        <v>35996</v>
      </c>
      <c r="AC70" s="82">
        <v>23903</v>
      </c>
      <c r="AD70" t="s">
        <v>354</v>
      </c>
      <c r="AE70" t="s">
        <v>39</v>
      </c>
      <c r="AF70">
        <v>20</v>
      </c>
      <c r="AG70" t="s">
        <v>397</v>
      </c>
    </row>
    <row r="71" spans="1:33" x14ac:dyDescent="0.25">
      <c r="A71">
        <v>492</v>
      </c>
      <c r="B71" t="s">
        <v>129</v>
      </c>
      <c r="C71" t="s">
        <v>58</v>
      </c>
      <c r="D71" t="s">
        <v>36</v>
      </c>
      <c r="Y71" t="s">
        <v>37</v>
      </c>
      <c r="Z71" t="s">
        <v>357</v>
      </c>
      <c r="AA71" s="82">
        <v>35996</v>
      </c>
      <c r="AC71" s="82">
        <v>27837</v>
      </c>
      <c r="AD71" t="s">
        <v>354</v>
      </c>
      <c r="AE71" t="s">
        <v>39</v>
      </c>
      <c r="AF71">
        <v>20</v>
      </c>
      <c r="AG71" t="s">
        <v>377</v>
      </c>
    </row>
    <row r="72" spans="1:33" x14ac:dyDescent="0.25">
      <c r="A72">
        <v>493</v>
      </c>
      <c r="B72" t="s">
        <v>130</v>
      </c>
      <c r="C72" t="s">
        <v>96</v>
      </c>
      <c r="D72" t="s">
        <v>36</v>
      </c>
      <c r="Y72" t="s">
        <v>37</v>
      </c>
      <c r="Z72" t="s">
        <v>359</v>
      </c>
      <c r="AA72" s="82">
        <v>35996</v>
      </c>
      <c r="AC72" s="82">
        <v>26048</v>
      </c>
      <c r="AD72" t="s">
        <v>354</v>
      </c>
      <c r="AE72" t="s">
        <v>39</v>
      </c>
      <c r="AF72">
        <v>20</v>
      </c>
      <c r="AG72" t="s">
        <v>419</v>
      </c>
    </row>
    <row r="73" spans="1:33" x14ac:dyDescent="0.25">
      <c r="A73">
        <v>494</v>
      </c>
      <c r="B73" t="s">
        <v>132</v>
      </c>
      <c r="C73" t="s">
        <v>133</v>
      </c>
      <c r="D73" t="s">
        <v>36</v>
      </c>
      <c r="Y73" t="s">
        <v>55</v>
      </c>
      <c r="Z73" t="s">
        <v>356</v>
      </c>
      <c r="AA73" s="82">
        <v>35996</v>
      </c>
      <c r="AC73" s="82">
        <v>26872</v>
      </c>
      <c r="AD73" t="s">
        <v>354</v>
      </c>
      <c r="AE73" t="s">
        <v>39</v>
      </c>
      <c r="AF73">
        <v>20</v>
      </c>
      <c r="AG73" t="s">
        <v>366</v>
      </c>
    </row>
    <row r="74" spans="1:33" x14ac:dyDescent="0.25">
      <c r="A74">
        <v>495</v>
      </c>
      <c r="B74" t="s">
        <v>134</v>
      </c>
      <c r="C74" t="s">
        <v>42</v>
      </c>
      <c r="D74" t="s">
        <v>36</v>
      </c>
      <c r="Y74" t="s">
        <v>37</v>
      </c>
      <c r="Z74" t="s">
        <v>357</v>
      </c>
      <c r="AA74" s="82">
        <v>35996</v>
      </c>
      <c r="AC74" s="82">
        <v>27305</v>
      </c>
      <c r="AD74" t="s">
        <v>354</v>
      </c>
      <c r="AE74" t="s">
        <v>39</v>
      </c>
      <c r="AF74">
        <v>20</v>
      </c>
      <c r="AG74" t="s">
        <v>377</v>
      </c>
    </row>
    <row r="75" spans="1:33" x14ac:dyDescent="0.25">
      <c r="A75">
        <v>496</v>
      </c>
      <c r="B75" t="s">
        <v>135</v>
      </c>
      <c r="C75" t="s">
        <v>136</v>
      </c>
      <c r="D75" t="s">
        <v>36</v>
      </c>
      <c r="Y75" t="s">
        <v>37</v>
      </c>
      <c r="Z75" t="s">
        <v>360</v>
      </c>
      <c r="AA75" s="82">
        <v>35996</v>
      </c>
      <c r="AC75" s="82">
        <v>26177</v>
      </c>
      <c r="AD75" t="s">
        <v>354</v>
      </c>
      <c r="AE75" t="s">
        <v>39</v>
      </c>
      <c r="AF75">
        <v>20</v>
      </c>
      <c r="AG75" t="s">
        <v>373</v>
      </c>
    </row>
    <row r="76" spans="1:33" x14ac:dyDescent="0.25">
      <c r="A76">
        <v>497</v>
      </c>
      <c r="B76" t="s">
        <v>137</v>
      </c>
      <c r="C76" t="s">
        <v>138</v>
      </c>
      <c r="D76" t="s">
        <v>36</v>
      </c>
      <c r="Y76" t="s">
        <v>55</v>
      </c>
      <c r="Z76" t="s">
        <v>356</v>
      </c>
      <c r="AA76" s="82">
        <v>35996</v>
      </c>
      <c r="AC76" s="82">
        <v>26361</v>
      </c>
      <c r="AD76" t="s">
        <v>356</v>
      </c>
      <c r="AE76" t="s">
        <v>39</v>
      </c>
      <c r="AF76">
        <v>20</v>
      </c>
      <c r="AG76" t="s">
        <v>400</v>
      </c>
    </row>
    <row r="77" spans="1:33" x14ac:dyDescent="0.25">
      <c r="A77">
        <v>498</v>
      </c>
      <c r="B77" t="s">
        <v>139</v>
      </c>
      <c r="C77" t="s">
        <v>140</v>
      </c>
      <c r="D77" t="s">
        <v>36</v>
      </c>
      <c r="Y77" t="s">
        <v>55</v>
      </c>
      <c r="Z77" t="s">
        <v>356</v>
      </c>
      <c r="AA77" s="82">
        <v>35996</v>
      </c>
      <c r="AC77" s="82">
        <v>25749</v>
      </c>
      <c r="AD77" t="s">
        <v>354</v>
      </c>
      <c r="AE77" t="s">
        <v>39</v>
      </c>
      <c r="AF77">
        <v>20</v>
      </c>
      <c r="AG77" t="s">
        <v>407</v>
      </c>
    </row>
    <row r="78" spans="1:33" x14ac:dyDescent="0.25">
      <c r="A78">
        <v>499</v>
      </c>
      <c r="B78" t="s">
        <v>141</v>
      </c>
      <c r="C78" t="s">
        <v>81</v>
      </c>
      <c r="D78" t="s">
        <v>36</v>
      </c>
      <c r="Y78" t="s">
        <v>55</v>
      </c>
      <c r="Z78" t="s">
        <v>356</v>
      </c>
      <c r="AA78" s="82">
        <v>35997</v>
      </c>
      <c r="AC78" s="82">
        <v>26602</v>
      </c>
      <c r="AD78" t="s">
        <v>354</v>
      </c>
      <c r="AE78" t="s">
        <v>39</v>
      </c>
      <c r="AF78">
        <v>20</v>
      </c>
      <c r="AG78" t="s">
        <v>377</v>
      </c>
    </row>
    <row r="79" spans="1:33" x14ac:dyDescent="0.25">
      <c r="A79">
        <v>503</v>
      </c>
      <c r="B79" t="s">
        <v>420</v>
      </c>
      <c r="C79" t="s">
        <v>42</v>
      </c>
      <c r="D79" t="s">
        <v>36</v>
      </c>
      <c r="Y79" t="s">
        <v>37</v>
      </c>
      <c r="Z79" t="s">
        <v>360</v>
      </c>
      <c r="AA79" s="82">
        <v>36039</v>
      </c>
      <c r="AC79" s="82">
        <v>23564</v>
      </c>
      <c r="AD79" t="s">
        <v>354</v>
      </c>
      <c r="AE79" t="s">
        <v>39</v>
      </c>
      <c r="AF79">
        <v>20</v>
      </c>
      <c r="AG79" t="s">
        <v>380</v>
      </c>
    </row>
    <row r="80" spans="1:33" x14ac:dyDescent="0.25">
      <c r="A80">
        <v>504</v>
      </c>
      <c r="B80" t="s">
        <v>143</v>
      </c>
      <c r="C80" t="s">
        <v>144</v>
      </c>
      <c r="D80" t="s">
        <v>36</v>
      </c>
      <c r="Y80" t="s">
        <v>55</v>
      </c>
      <c r="Z80" t="s">
        <v>356</v>
      </c>
      <c r="AA80" s="82">
        <v>36039</v>
      </c>
      <c r="AC80" s="82">
        <v>24416</v>
      </c>
      <c r="AD80" t="s">
        <v>354</v>
      </c>
      <c r="AE80" t="s">
        <v>39</v>
      </c>
      <c r="AF80">
        <v>20</v>
      </c>
      <c r="AG80" t="s">
        <v>366</v>
      </c>
    </row>
    <row r="81" spans="1:33" x14ac:dyDescent="0.25">
      <c r="A81">
        <v>505</v>
      </c>
      <c r="B81" t="s">
        <v>145</v>
      </c>
      <c r="C81" t="s">
        <v>64</v>
      </c>
      <c r="D81" t="s">
        <v>36</v>
      </c>
      <c r="Y81" t="s">
        <v>55</v>
      </c>
      <c r="Z81" t="s">
        <v>353</v>
      </c>
      <c r="AA81" s="82">
        <v>36039</v>
      </c>
      <c r="AC81" s="82">
        <v>26114</v>
      </c>
      <c r="AD81" t="s">
        <v>354</v>
      </c>
      <c r="AE81" t="s">
        <v>39</v>
      </c>
      <c r="AF81">
        <v>20</v>
      </c>
      <c r="AG81" t="s">
        <v>421</v>
      </c>
    </row>
    <row r="82" spans="1:33" x14ac:dyDescent="0.25">
      <c r="A82">
        <v>507</v>
      </c>
      <c r="B82" t="s">
        <v>147</v>
      </c>
      <c r="C82" t="s">
        <v>106</v>
      </c>
      <c r="D82" t="s">
        <v>36</v>
      </c>
      <c r="Y82" t="s">
        <v>55</v>
      </c>
      <c r="Z82" t="s">
        <v>356</v>
      </c>
      <c r="AA82" s="82">
        <v>36039</v>
      </c>
      <c r="AC82" s="82">
        <v>24288</v>
      </c>
      <c r="AD82" t="s">
        <v>354</v>
      </c>
      <c r="AE82" t="s">
        <v>39</v>
      </c>
      <c r="AF82">
        <v>20</v>
      </c>
      <c r="AG82" t="s">
        <v>397</v>
      </c>
    </row>
    <row r="83" spans="1:33" x14ac:dyDescent="0.25">
      <c r="A83">
        <v>510</v>
      </c>
      <c r="B83" t="s">
        <v>148</v>
      </c>
      <c r="C83" t="s">
        <v>84</v>
      </c>
      <c r="D83" t="s">
        <v>36</v>
      </c>
      <c r="Y83" t="s">
        <v>37</v>
      </c>
      <c r="Z83" t="s">
        <v>360</v>
      </c>
      <c r="AA83" s="82">
        <v>36395</v>
      </c>
      <c r="AC83" s="82">
        <v>28607</v>
      </c>
      <c r="AD83" t="s">
        <v>354</v>
      </c>
      <c r="AE83" t="s">
        <v>39</v>
      </c>
      <c r="AF83">
        <v>20</v>
      </c>
      <c r="AG83" t="s">
        <v>399</v>
      </c>
    </row>
    <row r="84" spans="1:33" x14ac:dyDescent="0.25">
      <c r="A84">
        <v>511</v>
      </c>
      <c r="B84" t="s">
        <v>150</v>
      </c>
      <c r="C84" t="s">
        <v>151</v>
      </c>
      <c r="D84" t="s">
        <v>36</v>
      </c>
      <c r="Y84" t="s">
        <v>55</v>
      </c>
      <c r="Z84" t="s">
        <v>356</v>
      </c>
      <c r="AA84" s="82">
        <v>36466</v>
      </c>
      <c r="AC84" s="82">
        <v>26515</v>
      </c>
      <c r="AD84" t="s">
        <v>354</v>
      </c>
      <c r="AE84" t="s">
        <v>39</v>
      </c>
      <c r="AF84">
        <v>20</v>
      </c>
      <c r="AG84" t="s">
        <v>397</v>
      </c>
    </row>
    <row r="85" spans="1:33" x14ac:dyDescent="0.25">
      <c r="A85">
        <v>512</v>
      </c>
      <c r="B85" t="s">
        <v>152</v>
      </c>
      <c r="C85" t="s">
        <v>42</v>
      </c>
      <c r="D85" t="s">
        <v>36</v>
      </c>
      <c r="Y85" t="s">
        <v>55</v>
      </c>
      <c r="Z85" t="s">
        <v>356</v>
      </c>
      <c r="AA85" s="82">
        <v>36472</v>
      </c>
      <c r="AC85" s="82">
        <v>29036</v>
      </c>
      <c r="AD85" t="s">
        <v>354</v>
      </c>
      <c r="AE85" t="s">
        <v>39</v>
      </c>
      <c r="AF85">
        <v>20</v>
      </c>
      <c r="AG85" t="s">
        <v>355</v>
      </c>
    </row>
    <row r="86" spans="1:33" x14ac:dyDescent="0.25">
      <c r="A86">
        <v>588</v>
      </c>
      <c r="B86" t="s">
        <v>153</v>
      </c>
      <c r="C86" t="s">
        <v>363</v>
      </c>
      <c r="D86" t="s">
        <v>36</v>
      </c>
      <c r="Y86" t="s">
        <v>37</v>
      </c>
      <c r="Z86" t="s">
        <v>357</v>
      </c>
      <c r="AA86" s="82">
        <v>37396</v>
      </c>
      <c r="AC86" s="82">
        <v>28889</v>
      </c>
      <c r="AD86" t="s">
        <v>354</v>
      </c>
      <c r="AE86" t="s">
        <v>39</v>
      </c>
      <c r="AF86">
        <v>20</v>
      </c>
      <c r="AG86" t="s">
        <v>373</v>
      </c>
    </row>
    <row r="87" spans="1:33" x14ac:dyDescent="0.25">
      <c r="A87">
        <v>596</v>
      </c>
      <c r="B87" t="s">
        <v>155</v>
      </c>
      <c r="C87" t="s">
        <v>42</v>
      </c>
      <c r="D87" t="s">
        <v>36</v>
      </c>
      <c r="Y87" t="s">
        <v>55</v>
      </c>
      <c r="Z87" t="s">
        <v>356</v>
      </c>
      <c r="AA87" s="82">
        <v>37459</v>
      </c>
      <c r="AC87" s="82">
        <v>29479</v>
      </c>
      <c r="AD87" t="s">
        <v>354</v>
      </c>
      <c r="AE87" t="s">
        <v>39</v>
      </c>
      <c r="AF87">
        <v>20</v>
      </c>
      <c r="AG87" t="s">
        <v>366</v>
      </c>
    </row>
    <row r="88" spans="1:33" x14ac:dyDescent="0.25">
      <c r="A88">
        <v>597</v>
      </c>
      <c r="B88" t="s">
        <v>156</v>
      </c>
      <c r="C88" t="s">
        <v>157</v>
      </c>
      <c r="D88" t="s">
        <v>36</v>
      </c>
      <c r="Y88" t="s">
        <v>37</v>
      </c>
      <c r="Z88" t="s">
        <v>360</v>
      </c>
      <c r="AA88" s="82">
        <v>37459</v>
      </c>
      <c r="AC88" s="82">
        <v>26873</v>
      </c>
      <c r="AD88" t="s">
        <v>354</v>
      </c>
      <c r="AE88" t="s">
        <v>39</v>
      </c>
      <c r="AF88">
        <v>20</v>
      </c>
      <c r="AG88" t="s">
        <v>371</v>
      </c>
    </row>
    <row r="89" spans="1:33" x14ac:dyDescent="0.25">
      <c r="A89">
        <v>733</v>
      </c>
      <c r="B89" t="s">
        <v>422</v>
      </c>
      <c r="C89" t="s">
        <v>423</v>
      </c>
      <c r="D89" t="s">
        <v>36</v>
      </c>
      <c r="Y89" t="s">
        <v>55</v>
      </c>
      <c r="Z89" t="s">
        <v>356</v>
      </c>
      <c r="AA89" s="82">
        <v>38408</v>
      </c>
      <c r="AC89" s="82">
        <v>27206</v>
      </c>
      <c r="AD89" t="s">
        <v>354</v>
      </c>
      <c r="AE89" t="s">
        <v>39</v>
      </c>
      <c r="AF89">
        <v>15</v>
      </c>
      <c r="AG89" t="s">
        <v>415</v>
      </c>
    </row>
    <row r="90" spans="1:33" x14ac:dyDescent="0.25">
      <c r="A90">
        <v>819</v>
      </c>
      <c r="B90" t="s">
        <v>158</v>
      </c>
      <c r="C90" t="s">
        <v>159</v>
      </c>
      <c r="D90" t="s">
        <v>36</v>
      </c>
      <c r="Y90" t="s">
        <v>37</v>
      </c>
      <c r="Z90" t="s">
        <v>360</v>
      </c>
      <c r="AA90" s="82">
        <v>38719</v>
      </c>
      <c r="AC90" s="82">
        <v>31379</v>
      </c>
      <c r="AD90" t="s">
        <v>357</v>
      </c>
      <c r="AE90" t="s">
        <v>39</v>
      </c>
      <c r="AF90">
        <v>15</v>
      </c>
      <c r="AG90" t="s">
        <v>424</v>
      </c>
    </row>
    <row r="91" spans="1:33" x14ac:dyDescent="0.25">
      <c r="A91">
        <v>824</v>
      </c>
      <c r="B91" t="s">
        <v>163</v>
      </c>
      <c r="C91" t="s">
        <v>164</v>
      </c>
      <c r="D91" t="s">
        <v>36</v>
      </c>
      <c r="Y91" t="s">
        <v>37</v>
      </c>
      <c r="Z91" t="s">
        <v>360</v>
      </c>
      <c r="AA91" s="82">
        <v>38719</v>
      </c>
      <c r="AC91" s="82">
        <v>30230</v>
      </c>
      <c r="AD91" t="s">
        <v>354</v>
      </c>
      <c r="AE91" t="s">
        <v>39</v>
      </c>
      <c r="AF91">
        <v>15</v>
      </c>
      <c r="AG91" t="s">
        <v>397</v>
      </c>
    </row>
    <row r="92" spans="1:33" x14ac:dyDescent="0.25">
      <c r="A92">
        <v>887</v>
      </c>
      <c r="B92" t="s">
        <v>165</v>
      </c>
      <c r="C92" t="s">
        <v>140</v>
      </c>
      <c r="D92" t="s">
        <v>36</v>
      </c>
      <c r="Y92" t="s">
        <v>55</v>
      </c>
      <c r="Z92" t="s">
        <v>353</v>
      </c>
      <c r="AA92" s="82">
        <v>38964</v>
      </c>
      <c r="AC92" s="82">
        <v>28477</v>
      </c>
      <c r="AD92" t="s">
        <v>354</v>
      </c>
      <c r="AE92" t="s">
        <v>39</v>
      </c>
      <c r="AF92">
        <v>15</v>
      </c>
      <c r="AG92" t="s">
        <v>399</v>
      </c>
    </row>
    <row r="93" spans="1:33" x14ac:dyDescent="0.25">
      <c r="A93">
        <v>957</v>
      </c>
      <c r="B93" t="s">
        <v>166</v>
      </c>
      <c r="C93" t="s">
        <v>167</v>
      </c>
      <c r="D93" t="s">
        <v>36</v>
      </c>
      <c r="Y93" t="s">
        <v>37</v>
      </c>
      <c r="Z93" t="s">
        <v>357</v>
      </c>
      <c r="AA93" s="82">
        <v>39264</v>
      </c>
      <c r="AC93" s="82">
        <v>31068</v>
      </c>
      <c r="AD93" t="s">
        <v>354</v>
      </c>
      <c r="AE93" t="s">
        <v>39</v>
      </c>
      <c r="AF93">
        <v>15</v>
      </c>
      <c r="AG93" t="s">
        <v>397</v>
      </c>
    </row>
    <row r="94" spans="1:33" x14ac:dyDescent="0.25">
      <c r="A94">
        <v>1076</v>
      </c>
      <c r="B94" t="s">
        <v>425</v>
      </c>
      <c r="C94" t="s">
        <v>426</v>
      </c>
      <c r="D94" t="s">
        <v>36</v>
      </c>
      <c r="Y94" t="s">
        <v>55</v>
      </c>
      <c r="Z94" t="s">
        <v>356</v>
      </c>
      <c r="AA94" s="82">
        <v>39853</v>
      </c>
      <c r="AC94" s="82">
        <v>30486</v>
      </c>
      <c r="AD94" t="s">
        <v>354</v>
      </c>
      <c r="AE94" t="s">
        <v>39</v>
      </c>
      <c r="AF94">
        <v>15</v>
      </c>
      <c r="AG94" t="s">
        <v>373</v>
      </c>
    </row>
    <row r="95" spans="1:33" x14ac:dyDescent="0.25">
      <c r="A95">
        <v>1078</v>
      </c>
      <c r="B95" t="s">
        <v>170</v>
      </c>
      <c r="C95" t="s">
        <v>140</v>
      </c>
      <c r="D95" t="s">
        <v>36</v>
      </c>
      <c r="Y95" t="s">
        <v>37</v>
      </c>
      <c r="Z95" t="s">
        <v>360</v>
      </c>
      <c r="AA95" s="82">
        <v>39853</v>
      </c>
      <c r="AC95" s="82">
        <v>30838</v>
      </c>
      <c r="AD95" t="s">
        <v>354</v>
      </c>
      <c r="AE95" t="s">
        <v>39</v>
      </c>
      <c r="AF95">
        <v>15</v>
      </c>
      <c r="AG95" t="s">
        <v>377</v>
      </c>
    </row>
    <row r="96" spans="1:33" x14ac:dyDescent="0.25">
      <c r="A96">
        <v>1081</v>
      </c>
      <c r="B96" t="s">
        <v>171</v>
      </c>
      <c r="C96" t="s">
        <v>172</v>
      </c>
      <c r="D96" t="s">
        <v>36</v>
      </c>
      <c r="Y96" t="s">
        <v>37</v>
      </c>
      <c r="Z96" t="s">
        <v>360</v>
      </c>
      <c r="AA96" s="82">
        <v>39853</v>
      </c>
      <c r="AC96" s="82">
        <v>31499</v>
      </c>
      <c r="AD96" t="s">
        <v>354</v>
      </c>
      <c r="AE96" t="s">
        <v>39</v>
      </c>
      <c r="AF96">
        <v>15</v>
      </c>
      <c r="AG96" t="s">
        <v>371</v>
      </c>
    </row>
    <row r="97" spans="1:33" x14ac:dyDescent="0.25">
      <c r="A97">
        <v>1082</v>
      </c>
      <c r="B97" t="s">
        <v>173</v>
      </c>
      <c r="C97" t="s">
        <v>133</v>
      </c>
      <c r="D97" t="s">
        <v>36</v>
      </c>
      <c r="Y97" t="s">
        <v>55</v>
      </c>
      <c r="Z97" t="s">
        <v>356</v>
      </c>
      <c r="AA97" s="82">
        <v>39860</v>
      </c>
      <c r="AC97" s="82">
        <v>31635</v>
      </c>
      <c r="AD97" t="s">
        <v>354</v>
      </c>
      <c r="AE97" t="s">
        <v>39</v>
      </c>
      <c r="AF97">
        <v>15</v>
      </c>
      <c r="AG97" t="s">
        <v>377</v>
      </c>
    </row>
    <row r="98" spans="1:33" x14ac:dyDescent="0.25">
      <c r="A98">
        <v>1184</v>
      </c>
      <c r="B98" t="s">
        <v>427</v>
      </c>
      <c r="C98" t="s">
        <v>428</v>
      </c>
      <c r="D98" t="s">
        <v>36</v>
      </c>
      <c r="Y98" t="s">
        <v>55</v>
      </c>
      <c r="Z98" t="s">
        <v>356</v>
      </c>
      <c r="AA98" s="82">
        <v>40360</v>
      </c>
      <c r="AC98" s="82">
        <v>31204</v>
      </c>
      <c r="AD98" t="s">
        <v>356</v>
      </c>
      <c r="AE98" t="s">
        <v>39</v>
      </c>
      <c r="AF98">
        <v>15</v>
      </c>
      <c r="AG98" t="s">
        <v>373</v>
      </c>
    </row>
    <row r="99" spans="1:33" x14ac:dyDescent="0.25">
      <c r="A99">
        <v>1185</v>
      </c>
      <c r="B99" t="s">
        <v>174</v>
      </c>
      <c r="C99" t="s">
        <v>175</v>
      </c>
      <c r="D99" t="s">
        <v>36</v>
      </c>
      <c r="Y99" t="s">
        <v>55</v>
      </c>
      <c r="Z99" t="s">
        <v>356</v>
      </c>
      <c r="AA99" s="82">
        <v>40360</v>
      </c>
      <c r="AC99" s="82">
        <v>31393</v>
      </c>
      <c r="AD99" t="s">
        <v>354</v>
      </c>
      <c r="AE99" t="s">
        <v>39</v>
      </c>
      <c r="AF99">
        <v>15</v>
      </c>
      <c r="AG99" t="s">
        <v>371</v>
      </c>
    </row>
    <row r="100" spans="1:33" x14ac:dyDescent="0.25">
      <c r="A100">
        <v>1195</v>
      </c>
      <c r="B100" t="s">
        <v>176</v>
      </c>
      <c r="C100" t="s">
        <v>177</v>
      </c>
      <c r="D100" t="s">
        <v>36</v>
      </c>
      <c r="Y100" t="s">
        <v>37</v>
      </c>
      <c r="Z100" t="s">
        <v>360</v>
      </c>
      <c r="AA100" s="82">
        <v>40422</v>
      </c>
      <c r="AC100" s="82">
        <v>32377</v>
      </c>
      <c r="AD100" t="s">
        <v>354</v>
      </c>
      <c r="AE100" t="s">
        <v>39</v>
      </c>
      <c r="AF100">
        <v>15</v>
      </c>
      <c r="AG100" t="s">
        <v>371</v>
      </c>
    </row>
    <row r="101" spans="1:33" x14ac:dyDescent="0.25">
      <c r="A101">
        <v>1196</v>
      </c>
      <c r="B101" t="s">
        <v>166</v>
      </c>
      <c r="C101" t="s">
        <v>429</v>
      </c>
      <c r="D101" t="s">
        <v>36</v>
      </c>
      <c r="Y101" t="s">
        <v>55</v>
      </c>
      <c r="Z101" t="s">
        <v>356</v>
      </c>
      <c r="AA101" s="82">
        <v>40452</v>
      </c>
      <c r="AC101" s="82">
        <v>31979</v>
      </c>
      <c r="AD101" t="s">
        <v>354</v>
      </c>
      <c r="AE101" t="s">
        <v>39</v>
      </c>
      <c r="AF101">
        <v>15</v>
      </c>
      <c r="AG101" t="s">
        <v>377</v>
      </c>
    </row>
    <row r="102" spans="1:33" x14ac:dyDescent="0.25">
      <c r="A102">
        <v>1198</v>
      </c>
      <c r="B102" t="s">
        <v>178</v>
      </c>
      <c r="C102" t="s">
        <v>179</v>
      </c>
      <c r="D102" t="s">
        <v>36</v>
      </c>
      <c r="Y102" t="s">
        <v>37</v>
      </c>
      <c r="Z102" t="s">
        <v>357</v>
      </c>
      <c r="AA102" s="82">
        <v>40452</v>
      </c>
      <c r="AC102" s="82">
        <v>31999</v>
      </c>
      <c r="AD102" t="s">
        <v>354</v>
      </c>
      <c r="AE102" t="s">
        <v>221</v>
      </c>
      <c r="AF102">
        <v>15</v>
      </c>
      <c r="AG102" t="s">
        <v>380</v>
      </c>
    </row>
    <row r="103" spans="1:33" x14ac:dyDescent="0.25">
      <c r="A103">
        <v>1204</v>
      </c>
      <c r="B103" t="s">
        <v>181</v>
      </c>
      <c r="C103" t="s">
        <v>182</v>
      </c>
      <c r="D103" t="s">
        <v>36</v>
      </c>
      <c r="Y103" t="s">
        <v>55</v>
      </c>
      <c r="Z103" t="s">
        <v>353</v>
      </c>
      <c r="AA103" s="82">
        <v>40513</v>
      </c>
      <c r="AC103" s="82">
        <v>31666</v>
      </c>
      <c r="AD103" t="s">
        <v>354</v>
      </c>
      <c r="AE103" t="s">
        <v>39</v>
      </c>
      <c r="AF103">
        <v>15</v>
      </c>
      <c r="AG103" t="s">
        <v>400</v>
      </c>
    </row>
    <row r="104" spans="1:33" x14ac:dyDescent="0.25">
      <c r="A104">
        <v>1208</v>
      </c>
      <c r="B104" t="s">
        <v>186</v>
      </c>
      <c r="C104" t="s">
        <v>42</v>
      </c>
      <c r="D104" t="s">
        <v>36</v>
      </c>
      <c r="Y104" t="s">
        <v>37</v>
      </c>
      <c r="Z104" t="s">
        <v>360</v>
      </c>
      <c r="AA104" s="82">
        <v>40546</v>
      </c>
      <c r="AC104" s="82">
        <v>30497</v>
      </c>
      <c r="AD104" t="s">
        <v>354</v>
      </c>
      <c r="AE104" t="s">
        <v>39</v>
      </c>
      <c r="AF104">
        <v>15</v>
      </c>
      <c r="AG104" t="s">
        <v>424</v>
      </c>
    </row>
    <row r="105" spans="1:33" x14ac:dyDescent="0.25">
      <c r="A105">
        <v>1210</v>
      </c>
      <c r="B105" t="s">
        <v>187</v>
      </c>
      <c r="C105" t="s">
        <v>188</v>
      </c>
      <c r="D105" t="s">
        <v>36</v>
      </c>
      <c r="Y105" t="s">
        <v>37</v>
      </c>
      <c r="Z105" t="s">
        <v>360</v>
      </c>
      <c r="AA105" s="82">
        <v>40634</v>
      </c>
      <c r="AC105" s="82">
        <v>31025</v>
      </c>
      <c r="AD105" t="s">
        <v>354</v>
      </c>
      <c r="AE105" t="s">
        <v>39</v>
      </c>
      <c r="AF105">
        <v>10</v>
      </c>
      <c r="AG105" t="s">
        <v>373</v>
      </c>
    </row>
    <row r="106" spans="1:33" x14ac:dyDescent="0.25">
      <c r="A106">
        <v>1271</v>
      </c>
      <c r="B106" t="s">
        <v>189</v>
      </c>
      <c r="C106" t="s">
        <v>42</v>
      </c>
      <c r="D106" t="s">
        <v>36</v>
      </c>
      <c r="Y106" t="s">
        <v>55</v>
      </c>
      <c r="Z106" t="s">
        <v>356</v>
      </c>
      <c r="AA106" s="82">
        <v>41353</v>
      </c>
      <c r="AC106" s="82">
        <v>32205</v>
      </c>
      <c r="AD106" t="s">
        <v>354</v>
      </c>
      <c r="AE106" t="s">
        <v>39</v>
      </c>
      <c r="AF106">
        <v>10</v>
      </c>
      <c r="AG106" t="s">
        <v>377</v>
      </c>
    </row>
    <row r="107" spans="1:33" x14ac:dyDescent="0.25">
      <c r="A107">
        <v>1272</v>
      </c>
      <c r="B107" t="s">
        <v>190</v>
      </c>
      <c r="C107" t="s">
        <v>49</v>
      </c>
      <c r="D107" t="s">
        <v>36</v>
      </c>
      <c r="Y107" t="s">
        <v>37</v>
      </c>
      <c r="Z107" t="s">
        <v>357</v>
      </c>
      <c r="AA107" s="82">
        <v>41353</v>
      </c>
      <c r="AC107" s="82">
        <v>32793</v>
      </c>
      <c r="AD107" t="s">
        <v>356</v>
      </c>
      <c r="AE107" t="s">
        <v>39</v>
      </c>
      <c r="AF107">
        <v>10</v>
      </c>
      <c r="AG107" t="s">
        <v>377</v>
      </c>
    </row>
    <row r="108" spans="1:33" x14ac:dyDescent="0.25">
      <c r="A108">
        <v>1273</v>
      </c>
      <c r="B108" t="s">
        <v>430</v>
      </c>
      <c r="C108" t="s">
        <v>138</v>
      </c>
      <c r="D108" t="s">
        <v>36</v>
      </c>
      <c r="Y108" t="s">
        <v>37</v>
      </c>
      <c r="Z108" t="s">
        <v>357</v>
      </c>
      <c r="AA108" s="82">
        <v>41353</v>
      </c>
      <c r="AC108" s="82">
        <v>31778</v>
      </c>
      <c r="AD108" t="s">
        <v>354</v>
      </c>
      <c r="AE108" t="s">
        <v>39</v>
      </c>
      <c r="AF108">
        <v>10</v>
      </c>
      <c r="AG108" t="s">
        <v>377</v>
      </c>
    </row>
    <row r="109" spans="1:33" x14ac:dyDescent="0.25">
      <c r="A109">
        <v>1280</v>
      </c>
      <c r="B109" t="s">
        <v>191</v>
      </c>
      <c r="C109" t="s">
        <v>46</v>
      </c>
      <c r="D109" t="s">
        <v>36</v>
      </c>
      <c r="Y109" t="s">
        <v>37</v>
      </c>
      <c r="Z109" t="s">
        <v>360</v>
      </c>
      <c r="AA109" s="82">
        <v>41981</v>
      </c>
      <c r="AC109" s="82">
        <v>26299</v>
      </c>
      <c r="AD109" t="s">
        <v>354</v>
      </c>
      <c r="AE109" t="s">
        <v>39</v>
      </c>
      <c r="AF109">
        <v>10</v>
      </c>
      <c r="AG109" t="s">
        <v>247</v>
      </c>
    </row>
    <row r="110" spans="1:33" x14ac:dyDescent="0.25">
      <c r="A110">
        <v>1299</v>
      </c>
      <c r="B110" t="s">
        <v>193</v>
      </c>
      <c r="C110" t="s">
        <v>140</v>
      </c>
      <c r="D110" t="s">
        <v>36</v>
      </c>
      <c r="Y110" t="s">
        <v>37</v>
      </c>
      <c r="Z110" t="s">
        <v>360</v>
      </c>
      <c r="AA110" s="82">
        <v>42310</v>
      </c>
      <c r="AC110" s="82">
        <v>31065</v>
      </c>
      <c r="AD110" t="s">
        <v>354</v>
      </c>
      <c r="AE110" t="s">
        <v>39</v>
      </c>
      <c r="AF110">
        <v>10</v>
      </c>
      <c r="AG110" t="s">
        <v>408</v>
      </c>
    </row>
    <row r="111" spans="1:33" x14ac:dyDescent="0.25">
      <c r="A111">
        <v>1359</v>
      </c>
      <c r="B111" t="s">
        <v>196</v>
      </c>
      <c r="C111" t="s">
        <v>159</v>
      </c>
      <c r="D111" t="s">
        <v>36</v>
      </c>
      <c r="Y111" t="s">
        <v>37</v>
      </c>
      <c r="Z111" t="s">
        <v>360</v>
      </c>
      <c r="AA111" s="82">
        <v>43346</v>
      </c>
      <c r="AC111" s="82">
        <v>31965</v>
      </c>
      <c r="AD111" t="s">
        <v>354</v>
      </c>
      <c r="AE111" t="s">
        <v>39</v>
      </c>
      <c r="AF111">
        <v>5</v>
      </c>
      <c r="AG111" t="s">
        <v>408</v>
      </c>
    </row>
    <row r="112" spans="1:33" x14ac:dyDescent="0.25">
      <c r="A112">
        <v>1360</v>
      </c>
      <c r="B112" t="s">
        <v>197</v>
      </c>
      <c r="C112" t="s">
        <v>42</v>
      </c>
      <c r="D112" t="s">
        <v>36</v>
      </c>
      <c r="Y112" t="s">
        <v>55</v>
      </c>
      <c r="Z112" t="s">
        <v>356</v>
      </c>
      <c r="AA112" s="82">
        <v>43344</v>
      </c>
      <c r="AC112" s="82">
        <v>32388</v>
      </c>
      <c r="AD112" t="s">
        <v>354</v>
      </c>
      <c r="AE112" t="s">
        <v>39</v>
      </c>
      <c r="AF112">
        <v>5</v>
      </c>
      <c r="AG112" t="s">
        <v>406</v>
      </c>
    </row>
    <row r="113" spans="1:33" x14ac:dyDescent="0.25">
      <c r="A113">
        <v>1363</v>
      </c>
      <c r="B113" t="s">
        <v>199</v>
      </c>
      <c r="C113" t="s">
        <v>42</v>
      </c>
      <c r="D113" t="s">
        <v>36</v>
      </c>
      <c r="Y113" t="s">
        <v>37</v>
      </c>
      <c r="Z113" t="s">
        <v>357</v>
      </c>
      <c r="AA113" s="82">
        <v>43556</v>
      </c>
      <c r="AC113" s="82">
        <v>31024</v>
      </c>
      <c r="AD113" t="s">
        <v>354</v>
      </c>
      <c r="AE113" t="s">
        <v>39</v>
      </c>
      <c r="AF113">
        <v>5</v>
      </c>
      <c r="AG113" t="s">
        <v>377</v>
      </c>
    </row>
    <row r="114" spans="1:33" x14ac:dyDescent="0.25">
      <c r="A114">
        <v>1367</v>
      </c>
      <c r="B114" t="s">
        <v>200</v>
      </c>
      <c r="C114" t="s">
        <v>201</v>
      </c>
      <c r="D114" t="s">
        <v>36</v>
      </c>
      <c r="Y114" t="s">
        <v>37</v>
      </c>
      <c r="Z114" t="s">
        <v>357</v>
      </c>
      <c r="AA114" s="82">
        <v>43617</v>
      </c>
      <c r="AC114" s="82">
        <v>33877</v>
      </c>
      <c r="AD114" t="s">
        <v>354</v>
      </c>
      <c r="AE114" t="s">
        <v>180</v>
      </c>
      <c r="AF114">
        <v>5</v>
      </c>
      <c r="AG114" t="s">
        <v>431</v>
      </c>
    </row>
    <row r="115" spans="1:33" x14ac:dyDescent="0.25">
      <c r="A115">
        <v>1368</v>
      </c>
      <c r="B115" t="s">
        <v>203</v>
      </c>
      <c r="C115" t="s">
        <v>204</v>
      </c>
      <c r="D115" t="s">
        <v>36</v>
      </c>
      <c r="Y115" t="s">
        <v>37</v>
      </c>
      <c r="Z115" t="s">
        <v>357</v>
      </c>
      <c r="AA115" s="82">
        <v>43617</v>
      </c>
      <c r="AC115" s="82">
        <v>32976</v>
      </c>
      <c r="AD115" t="s">
        <v>354</v>
      </c>
      <c r="AE115" t="s">
        <v>180</v>
      </c>
      <c r="AF115">
        <v>5</v>
      </c>
      <c r="AG115" t="s">
        <v>432</v>
      </c>
    </row>
    <row r="116" spans="1:33" x14ac:dyDescent="0.25">
      <c r="A116">
        <v>1382</v>
      </c>
      <c r="B116" t="s">
        <v>205</v>
      </c>
      <c r="C116" t="s">
        <v>206</v>
      </c>
      <c r="D116" t="s">
        <v>36</v>
      </c>
      <c r="Y116" t="s">
        <v>37</v>
      </c>
      <c r="Z116" t="s">
        <v>357</v>
      </c>
      <c r="AA116" s="82">
        <v>43892</v>
      </c>
      <c r="AC116" s="82">
        <v>35107</v>
      </c>
      <c r="AD116" t="s">
        <v>356</v>
      </c>
      <c r="AE116" t="s">
        <v>39</v>
      </c>
      <c r="AF116">
        <v>5</v>
      </c>
      <c r="AG116" t="s">
        <v>373</v>
      </c>
    </row>
    <row r="117" spans="1:33" x14ac:dyDescent="0.25">
      <c r="A117">
        <v>1389</v>
      </c>
      <c r="B117" t="s">
        <v>207</v>
      </c>
      <c r="C117" t="s">
        <v>208</v>
      </c>
      <c r="D117" t="s">
        <v>36</v>
      </c>
      <c r="Y117" t="s">
        <v>55</v>
      </c>
      <c r="Z117" t="s">
        <v>356</v>
      </c>
      <c r="AA117" s="82">
        <v>44105</v>
      </c>
      <c r="AC117" s="82">
        <v>30638</v>
      </c>
      <c r="AD117" t="s">
        <v>354</v>
      </c>
      <c r="AE117" t="s">
        <v>39</v>
      </c>
      <c r="AF117">
        <v>5</v>
      </c>
      <c r="AG117" t="s">
        <v>373</v>
      </c>
    </row>
    <row r="118" spans="1:33" x14ac:dyDescent="0.25">
      <c r="A118">
        <v>1390</v>
      </c>
      <c r="B118" t="s">
        <v>209</v>
      </c>
      <c r="C118" t="s">
        <v>210</v>
      </c>
      <c r="D118" t="s">
        <v>36</v>
      </c>
      <c r="Y118" t="s">
        <v>55</v>
      </c>
      <c r="Z118" t="s">
        <v>433</v>
      </c>
      <c r="AA118" s="82">
        <v>44105</v>
      </c>
      <c r="AC118" s="82">
        <v>35385</v>
      </c>
      <c r="AD118" t="s">
        <v>356</v>
      </c>
      <c r="AE118" t="s">
        <v>39</v>
      </c>
      <c r="AF118">
        <v>5</v>
      </c>
      <c r="AG118" t="s">
        <v>383</v>
      </c>
    </row>
    <row r="119" spans="1:33" x14ac:dyDescent="0.25">
      <c r="A119">
        <v>1391</v>
      </c>
      <c r="B119" t="s">
        <v>434</v>
      </c>
      <c r="C119" t="s">
        <v>435</v>
      </c>
      <c r="D119" t="s">
        <v>36</v>
      </c>
      <c r="Y119" t="s">
        <v>37</v>
      </c>
      <c r="Z119" t="s">
        <v>357</v>
      </c>
      <c r="AA119" s="82">
        <v>44137</v>
      </c>
      <c r="AC119" s="82">
        <v>35517</v>
      </c>
      <c r="AD119" t="s">
        <v>356</v>
      </c>
      <c r="AE119" t="s">
        <v>221</v>
      </c>
      <c r="AF119">
        <v>5</v>
      </c>
      <c r="AG119" t="s">
        <v>408</v>
      </c>
    </row>
    <row r="120" spans="1:33" x14ac:dyDescent="0.25">
      <c r="A120">
        <v>1416</v>
      </c>
      <c r="B120" t="s">
        <v>214</v>
      </c>
      <c r="C120" t="s">
        <v>215</v>
      </c>
      <c r="D120" t="s">
        <v>36</v>
      </c>
      <c r="Y120" t="s">
        <v>55</v>
      </c>
      <c r="Z120" t="s">
        <v>353</v>
      </c>
      <c r="AA120" s="82">
        <v>44501</v>
      </c>
      <c r="AC120" s="82">
        <v>34417</v>
      </c>
      <c r="AD120" t="s">
        <v>356</v>
      </c>
      <c r="AE120" t="s">
        <v>39</v>
      </c>
      <c r="AF120">
        <v>0</v>
      </c>
      <c r="AG120" t="s">
        <v>406</v>
      </c>
    </row>
    <row r="121" spans="1:33" x14ac:dyDescent="0.25">
      <c r="A121">
        <v>1417</v>
      </c>
      <c r="B121" t="s">
        <v>216</v>
      </c>
      <c r="C121" t="s">
        <v>217</v>
      </c>
      <c r="D121" t="s">
        <v>36</v>
      </c>
      <c r="Y121" t="s">
        <v>37</v>
      </c>
      <c r="Z121" t="s">
        <v>357</v>
      </c>
      <c r="AA121" s="82">
        <v>44515</v>
      </c>
      <c r="AC121" s="82">
        <v>35130</v>
      </c>
      <c r="AD121" t="s">
        <v>356</v>
      </c>
      <c r="AE121" t="s">
        <v>39</v>
      </c>
      <c r="AF121">
        <v>0</v>
      </c>
      <c r="AG121" t="s">
        <v>406</v>
      </c>
    </row>
    <row r="122" spans="1:33" x14ac:dyDescent="0.25">
      <c r="A122">
        <v>1450</v>
      </c>
      <c r="B122" t="s">
        <v>200</v>
      </c>
      <c r="C122" t="s">
        <v>220</v>
      </c>
      <c r="D122" t="s">
        <v>36</v>
      </c>
      <c r="Y122" t="s">
        <v>55</v>
      </c>
      <c r="Z122" t="s">
        <v>356</v>
      </c>
      <c r="AA122" s="82">
        <v>44634</v>
      </c>
      <c r="AC122" s="82">
        <v>35353</v>
      </c>
      <c r="AD122" t="s">
        <v>356</v>
      </c>
      <c r="AE122" t="s">
        <v>221</v>
      </c>
      <c r="AF122">
        <v>0</v>
      </c>
      <c r="AG122" t="s">
        <v>436</v>
      </c>
    </row>
    <row r="123" spans="1:33" x14ac:dyDescent="0.25">
      <c r="A123">
        <v>1451</v>
      </c>
      <c r="B123" t="s">
        <v>222</v>
      </c>
      <c r="C123" t="s">
        <v>223</v>
      </c>
      <c r="D123" t="s">
        <v>36</v>
      </c>
      <c r="Y123" t="s">
        <v>55</v>
      </c>
      <c r="Z123" t="s">
        <v>356</v>
      </c>
      <c r="AA123" s="82">
        <v>44621</v>
      </c>
      <c r="AC123" s="82">
        <v>31884</v>
      </c>
      <c r="AD123" t="s">
        <v>354</v>
      </c>
      <c r="AE123" t="s">
        <v>39</v>
      </c>
      <c r="AF123">
        <v>0</v>
      </c>
      <c r="AG123" t="s">
        <v>394</v>
      </c>
    </row>
    <row r="124" spans="1:33" x14ac:dyDescent="0.25">
      <c r="A124">
        <v>1457</v>
      </c>
      <c r="B124" t="s">
        <v>224</v>
      </c>
      <c r="C124" t="s">
        <v>225</v>
      </c>
      <c r="D124" t="s">
        <v>36</v>
      </c>
      <c r="Y124" t="s">
        <v>37</v>
      </c>
      <c r="Z124" t="s">
        <v>357</v>
      </c>
      <c r="AA124" s="82">
        <v>44652</v>
      </c>
      <c r="AC124" s="82">
        <v>36056</v>
      </c>
      <c r="AD124" t="s">
        <v>356</v>
      </c>
      <c r="AE124" t="s">
        <v>39</v>
      </c>
      <c r="AF124">
        <v>0</v>
      </c>
      <c r="AG124" t="s">
        <v>377</v>
      </c>
    </row>
    <row r="125" spans="1:33" x14ac:dyDescent="0.25">
      <c r="A125">
        <v>1482</v>
      </c>
      <c r="B125" t="s">
        <v>226</v>
      </c>
      <c r="C125" t="s">
        <v>227</v>
      </c>
      <c r="D125" t="s">
        <v>36</v>
      </c>
      <c r="Y125" t="s">
        <v>55</v>
      </c>
      <c r="Z125" t="s">
        <v>356</v>
      </c>
      <c r="AA125" s="82">
        <v>44835</v>
      </c>
      <c r="AC125" s="82">
        <v>35762</v>
      </c>
      <c r="AD125" t="s">
        <v>354</v>
      </c>
      <c r="AE125" t="s">
        <v>39</v>
      </c>
      <c r="AF125">
        <v>0</v>
      </c>
      <c r="AG125" t="s">
        <v>373</v>
      </c>
    </row>
    <row r="126" spans="1:33" x14ac:dyDescent="0.25">
      <c r="A126">
        <v>1483</v>
      </c>
      <c r="B126" t="s">
        <v>437</v>
      </c>
      <c r="C126" t="s">
        <v>94</v>
      </c>
      <c r="D126" t="s">
        <v>36</v>
      </c>
      <c r="Y126" t="s">
        <v>55</v>
      </c>
      <c r="Z126" t="s">
        <v>353</v>
      </c>
      <c r="AA126" s="82">
        <v>44835</v>
      </c>
      <c r="AC126" s="82">
        <v>36541</v>
      </c>
      <c r="AD126" t="s">
        <v>356</v>
      </c>
      <c r="AE126" t="s">
        <v>39</v>
      </c>
      <c r="AF126">
        <v>0</v>
      </c>
      <c r="AG126" t="s">
        <v>399</v>
      </c>
    </row>
    <row r="127" spans="1:33" x14ac:dyDescent="0.25">
      <c r="A127">
        <v>1507</v>
      </c>
      <c r="B127" t="s">
        <v>228</v>
      </c>
      <c r="C127" t="s">
        <v>229</v>
      </c>
      <c r="D127" t="s">
        <v>36</v>
      </c>
      <c r="Y127" t="s">
        <v>55</v>
      </c>
      <c r="Z127" t="s">
        <v>353</v>
      </c>
      <c r="AA127" s="82">
        <v>44896</v>
      </c>
      <c r="AC127" s="82">
        <v>36345</v>
      </c>
      <c r="AD127" t="s">
        <v>356</v>
      </c>
      <c r="AE127" t="s">
        <v>39</v>
      </c>
      <c r="AF127">
        <v>0</v>
      </c>
      <c r="AG127" t="s">
        <v>383</v>
      </c>
    </row>
    <row r="128" spans="1:33" x14ac:dyDescent="0.25">
      <c r="A128">
        <v>1508</v>
      </c>
      <c r="B128" t="s">
        <v>230</v>
      </c>
      <c r="C128" t="s">
        <v>227</v>
      </c>
      <c r="D128" t="s">
        <v>36</v>
      </c>
      <c r="Y128" t="s">
        <v>55</v>
      </c>
      <c r="Z128" t="s">
        <v>353</v>
      </c>
      <c r="AA128" s="82">
        <v>44896</v>
      </c>
      <c r="AC128" s="82">
        <v>32579</v>
      </c>
      <c r="AD128" t="s">
        <v>356</v>
      </c>
      <c r="AE128" t="s">
        <v>39</v>
      </c>
      <c r="AF128">
        <v>0</v>
      </c>
      <c r="AG128" t="s">
        <v>377</v>
      </c>
    </row>
    <row r="129" spans="1:33" x14ac:dyDescent="0.25">
      <c r="A129">
        <v>1513</v>
      </c>
      <c r="B129" t="s">
        <v>231</v>
      </c>
      <c r="C129" t="s">
        <v>232</v>
      </c>
      <c r="D129" t="s">
        <v>36</v>
      </c>
      <c r="Y129" t="s">
        <v>55</v>
      </c>
      <c r="Z129" t="s">
        <v>353</v>
      </c>
      <c r="AA129" s="82">
        <v>44928</v>
      </c>
      <c r="AC129" s="82">
        <v>37098</v>
      </c>
      <c r="AD129" t="s">
        <v>356</v>
      </c>
      <c r="AE129" t="s">
        <v>39</v>
      </c>
      <c r="AF129">
        <v>0</v>
      </c>
      <c r="AG129" t="s">
        <v>355</v>
      </c>
    </row>
    <row r="130" spans="1:33" x14ac:dyDescent="0.25">
      <c r="A130">
        <v>1514</v>
      </c>
      <c r="B130" t="s">
        <v>233</v>
      </c>
      <c r="C130" t="s">
        <v>42</v>
      </c>
      <c r="D130" t="s">
        <v>36</v>
      </c>
      <c r="Y130" t="s">
        <v>55</v>
      </c>
      <c r="Z130" t="s">
        <v>353</v>
      </c>
      <c r="AA130" s="82">
        <v>44914</v>
      </c>
      <c r="AC130" s="82">
        <v>35412</v>
      </c>
      <c r="AD130" t="s">
        <v>356</v>
      </c>
      <c r="AE130" t="s">
        <v>39</v>
      </c>
      <c r="AF130">
        <v>0</v>
      </c>
      <c r="AG130" t="s">
        <v>377</v>
      </c>
    </row>
    <row r="131" spans="1:33" x14ac:dyDescent="0.25">
      <c r="A131">
        <v>1515</v>
      </c>
      <c r="B131" t="s">
        <v>234</v>
      </c>
      <c r="C131" t="s">
        <v>125</v>
      </c>
      <c r="D131" t="s">
        <v>36</v>
      </c>
      <c r="Y131" t="s">
        <v>55</v>
      </c>
      <c r="Z131" t="s">
        <v>356</v>
      </c>
      <c r="AA131" s="82">
        <v>44928</v>
      </c>
      <c r="AC131" s="82">
        <v>33505</v>
      </c>
      <c r="AD131" t="s">
        <v>356</v>
      </c>
      <c r="AE131" t="s">
        <v>39</v>
      </c>
      <c r="AF131">
        <v>0</v>
      </c>
      <c r="AG131" t="s">
        <v>373</v>
      </c>
    </row>
    <row r="132" spans="1:33" x14ac:dyDescent="0.25">
      <c r="A132">
        <v>1516</v>
      </c>
      <c r="B132" t="s">
        <v>235</v>
      </c>
      <c r="C132" t="s">
        <v>167</v>
      </c>
      <c r="D132" t="s">
        <v>36</v>
      </c>
      <c r="Y132" t="s">
        <v>55</v>
      </c>
      <c r="Z132" t="s">
        <v>353</v>
      </c>
      <c r="AA132" s="82">
        <v>44928</v>
      </c>
      <c r="AC132" s="82">
        <v>32738</v>
      </c>
      <c r="AD132" t="s">
        <v>354</v>
      </c>
      <c r="AE132" t="s">
        <v>39</v>
      </c>
      <c r="AF132">
        <v>0</v>
      </c>
      <c r="AG132" t="s">
        <v>355</v>
      </c>
    </row>
    <row r="133" spans="1:33" x14ac:dyDescent="0.25">
      <c r="A133">
        <v>1517</v>
      </c>
      <c r="B133" t="s">
        <v>438</v>
      </c>
      <c r="C133" t="s">
        <v>237</v>
      </c>
      <c r="D133" t="s">
        <v>36</v>
      </c>
      <c r="Y133" t="s">
        <v>55</v>
      </c>
      <c r="Z133" t="s">
        <v>353</v>
      </c>
      <c r="AA133" s="82">
        <v>44928</v>
      </c>
      <c r="AC133" s="82">
        <v>34708</v>
      </c>
      <c r="AD133" t="s">
        <v>356</v>
      </c>
      <c r="AE133" t="s">
        <v>39</v>
      </c>
      <c r="AF133">
        <v>0</v>
      </c>
      <c r="AG133" t="s">
        <v>355</v>
      </c>
    </row>
    <row r="134" spans="1:33" x14ac:dyDescent="0.25">
      <c r="A134">
        <v>1525</v>
      </c>
      <c r="B134" t="s">
        <v>236</v>
      </c>
      <c r="C134" t="s">
        <v>237</v>
      </c>
      <c r="D134" t="s">
        <v>36</v>
      </c>
      <c r="Y134" t="s">
        <v>55</v>
      </c>
      <c r="Z134" t="s">
        <v>353</v>
      </c>
      <c r="AA134" s="82">
        <v>44972</v>
      </c>
      <c r="AC134" s="82">
        <v>37555</v>
      </c>
      <c r="AD134" t="s">
        <v>356</v>
      </c>
      <c r="AE134" t="s">
        <v>39</v>
      </c>
      <c r="AF134">
        <v>0</v>
      </c>
      <c r="AG134" t="s">
        <v>355</v>
      </c>
    </row>
    <row r="135" spans="1:33" x14ac:dyDescent="0.25">
      <c r="A135">
        <v>1532</v>
      </c>
      <c r="B135" t="s">
        <v>238</v>
      </c>
      <c r="C135" t="s">
        <v>239</v>
      </c>
      <c r="D135" t="s">
        <v>36</v>
      </c>
      <c r="Y135" t="s">
        <v>55</v>
      </c>
      <c r="Z135" t="s">
        <v>356</v>
      </c>
      <c r="AA135" s="82">
        <v>44986</v>
      </c>
      <c r="AC135" s="82">
        <v>31779</v>
      </c>
      <c r="AD135" t="s">
        <v>354</v>
      </c>
      <c r="AE135" t="s">
        <v>39</v>
      </c>
      <c r="AF135">
        <v>0</v>
      </c>
      <c r="AG135" t="s">
        <v>406</v>
      </c>
    </row>
  </sheetData>
  <autoFilter ref="A2:AH2" xr:uid="{DD2ABBC8-A495-493E-B665-5EE2E237364B}">
    <sortState xmlns:xlrd2="http://schemas.microsoft.com/office/spreadsheetml/2017/richdata2" ref="A3:AH135">
      <sortCondition ref="A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FF0C-A1D4-4646-B51D-457D5A0DBC99}">
  <dimension ref="C1:AY23"/>
  <sheetViews>
    <sheetView topLeftCell="Y15" workbookViewId="0">
      <selection activeCell="AJ45" sqref="AJ45"/>
    </sheetView>
  </sheetViews>
  <sheetFormatPr baseColWidth="10" defaultColWidth="11.42578125" defaultRowHeight="15" x14ac:dyDescent="0.25"/>
  <cols>
    <col min="1" max="2" width="11.42578125" customWidth="1"/>
    <col min="3" max="3" width="13.42578125" customWidth="1"/>
    <col min="4" max="4" width="8" customWidth="1"/>
    <col min="5" max="7" width="11.42578125" customWidth="1"/>
    <col min="8" max="8" width="13.140625" customWidth="1"/>
    <col min="9" max="12" width="11.42578125" customWidth="1"/>
    <col min="13" max="13" width="13.140625" customWidth="1"/>
    <col min="14" max="17" width="11.42578125" customWidth="1"/>
    <col min="18" max="18" width="13.140625" customWidth="1"/>
    <col min="19" max="26" width="11.42578125" customWidth="1"/>
    <col min="28" max="28" width="13.140625" bestFit="1" customWidth="1"/>
    <col min="31" max="31" width="7.7109375" bestFit="1" customWidth="1"/>
    <col min="36" max="36" width="13.140625" bestFit="1" customWidth="1"/>
    <col min="43" max="43" width="40.140625" bestFit="1" customWidth="1"/>
    <col min="44" max="44" width="21.42578125" customWidth="1"/>
    <col min="45" max="47" width="28.85546875" customWidth="1"/>
    <col min="48" max="48" width="11" bestFit="1" customWidth="1"/>
    <col min="49" max="49" width="12" bestFit="1" customWidth="1"/>
    <col min="50" max="50" width="7.7109375" bestFit="1" customWidth="1"/>
  </cols>
  <sheetData>
    <row r="1" spans="3:51" x14ac:dyDescent="0.25">
      <c r="D1">
        <v>1</v>
      </c>
      <c r="E1">
        <v>2</v>
      </c>
      <c r="I1">
        <v>1</v>
      </c>
      <c r="J1">
        <v>2</v>
      </c>
    </row>
    <row r="2" spans="3:51" x14ac:dyDescent="0.25">
      <c r="D2" s="123" t="s">
        <v>439</v>
      </c>
      <c r="E2" s="123"/>
      <c r="I2" s="123" t="s">
        <v>440</v>
      </c>
      <c r="J2" s="123"/>
      <c r="N2" s="123" t="s">
        <v>441</v>
      </c>
      <c r="O2" s="123"/>
      <c r="P2" s="4"/>
      <c r="S2" s="123" t="s">
        <v>36</v>
      </c>
      <c r="T2" s="123"/>
    </row>
    <row r="3" spans="3:51" ht="15.75" x14ac:dyDescent="0.25">
      <c r="D3" t="s">
        <v>8</v>
      </c>
      <c r="E3" t="s">
        <v>9</v>
      </c>
      <c r="F3" t="s">
        <v>9</v>
      </c>
      <c r="I3" t="s">
        <v>8</v>
      </c>
      <c r="J3" t="s">
        <v>9</v>
      </c>
      <c r="K3" t="s">
        <v>9</v>
      </c>
      <c r="N3" t="s">
        <v>8</v>
      </c>
      <c r="O3" t="s">
        <v>9</v>
      </c>
      <c r="P3" t="s">
        <v>9</v>
      </c>
      <c r="S3" t="s">
        <v>8</v>
      </c>
      <c r="T3" t="s">
        <v>9</v>
      </c>
      <c r="U3" t="s">
        <v>9</v>
      </c>
      <c r="AC3" t="s">
        <v>8</v>
      </c>
      <c r="AD3" t="s">
        <v>9</v>
      </c>
      <c r="AE3" t="s">
        <v>9</v>
      </c>
      <c r="AG3" s="50">
        <v>363</v>
      </c>
      <c r="AH3" s="50">
        <v>12</v>
      </c>
      <c r="AK3" t="s">
        <v>8</v>
      </c>
      <c r="AL3" t="s">
        <v>9</v>
      </c>
      <c r="AM3" t="s">
        <v>9</v>
      </c>
      <c r="AW3" t="s">
        <v>442</v>
      </c>
      <c r="AX3" t="s">
        <v>359</v>
      </c>
    </row>
    <row r="4" spans="3:51" ht="15.75" x14ac:dyDescent="0.25">
      <c r="C4" t="s">
        <v>443</v>
      </c>
      <c r="D4" s="4">
        <f ca="1">COUNTIFS(EFFECTIF!Q:Q,C4,EFFECTIF!R:R,'Pyramide age'!$D$1,EFFECTIF!P:P,'Pyramide age'!$D$2)</f>
        <v>0</v>
      </c>
      <c r="E4" s="4">
        <f ca="1">COUNTIFS(EFFECTIF!Q:Q,C4,EFFECTIF!R:R,'Pyramide age'!$E$1,EFFECTIF!P:P,'Pyramide age'!$D$2)</f>
        <v>0</v>
      </c>
      <c r="F4">
        <f ca="1">E4*-1</f>
        <v>0</v>
      </c>
      <c r="H4" t="s">
        <v>443</v>
      </c>
      <c r="I4" s="4">
        <f ca="1">COUNTIFS(EFFECTIF!Q:Q,C4,EFFECTIF!R:R,'Pyramide age'!$D$1,EFFECTIF!P:P,'Pyramide age'!$I$2)</f>
        <v>0</v>
      </c>
      <c r="J4" s="4">
        <f ca="1">COUNTIFS(EFFECTIF!Q:Q,C4,EFFECTIF!R:R,'Pyramide age'!$E1,EFFECTIF!P:P,'Pyramide age'!$I$2)</f>
        <v>0</v>
      </c>
      <c r="K4">
        <f t="shared" ref="K4:K12" ca="1" si="0">J4*-1</f>
        <v>0</v>
      </c>
      <c r="M4" t="s">
        <v>443</v>
      </c>
      <c r="N4" s="4">
        <f ca="1">COUNTIFS(EFFECTIF!Q:Q,C4,EFFECTIF!R:R,'Pyramide age'!$D$1,EFFECTIF!P:P,'Pyramide age'!$N$2)</f>
        <v>0</v>
      </c>
      <c r="O4" s="4">
        <f ca="1">COUNTIFS(EFFECTIF!Q:Q,C4,EFFECTIF!R:R,'Pyramide age'!$E$1,EFFECTIF!P:P,'Pyramide age'!$N$2)</f>
        <v>0</v>
      </c>
      <c r="P4" s="4">
        <f t="shared" ref="P4:P12" ca="1" si="1">O4*-1</f>
        <v>0</v>
      </c>
      <c r="R4" t="s">
        <v>443</v>
      </c>
      <c r="S4" s="4">
        <f ca="1">COUNTIFS(EFFECTIF!Q:Q,C4,EFFECTIF!R:R,'Pyramide age'!$D$1,EFFECTIF!P:P,'Pyramide age'!$S$2)</f>
        <v>25</v>
      </c>
      <c r="T4" s="4">
        <f ca="1">COUNTIFS(EFFECTIF!Q:Q,C4,EFFECTIF!R:R,'Pyramide age'!$E$1,EFFECTIF!P:P,'Pyramide age'!$S$2)</f>
        <v>0</v>
      </c>
      <c r="U4">
        <f t="shared" ref="U4:U12" ca="1" si="2">T4*-1</f>
        <v>0</v>
      </c>
      <c r="AB4" t="s">
        <v>443</v>
      </c>
      <c r="AC4" s="4">
        <f ca="1">COUNTIFS(EFFECTIF!Q:Q,M4,EFFECTIF!R:R,'Pyramide age'!$D$1)</f>
        <v>25</v>
      </c>
      <c r="AD4" s="4">
        <f ca="1">COUNTIFS(EFFECTIF!Q:Q,M4,EFFECTIF!R:R,'Pyramide age'!$E$1)</f>
        <v>0</v>
      </c>
      <c r="AE4">
        <f t="shared" ref="AE4:AE11" ca="1" si="3">AD4*-1</f>
        <v>0</v>
      </c>
      <c r="AG4" s="50">
        <v>140</v>
      </c>
      <c r="AH4" s="50">
        <v>8</v>
      </c>
      <c r="AJ4" t="s">
        <v>444</v>
      </c>
      <c r="AK4" s="4">
        <f ca="1">IF(COUNTIFS(EFFECTIF!T:T,AJ4,EFFECTIF!R:R,'Pyramide age'!$D$1)=0,"",COUNTIFS(EFFECTIF!T:T,AJ4,EFFECTIF!R:R,'Pyramide age'!$D$1))</f>
        <v>41</v>
      </c>
      <c r="AL4" s="4">
        <f ca="1">IF(COUNTIFS(EFFECTIF!T:T,AJ4,EFFECTIF!R:R,'Pyramide age'!$E$1)=0,"",COUNTIFS(EFFECTIF!T:T,AJ4,EFFECTIF!R:R,'Pyramide age'!$E$1))</f>
        <v>2</v>
      </c>
      <c r="AM4">
        <f ca="1">IF(COUNTIFS(EFFECTIF!T:T,AJ4,EFFECTIF!R:R,'Pyramide age'!$E$1)=0,"",AL4*-1)</f>
        <v>-2</v>
      </c>
      <c r="AV4" t="s">
        <v>13</v>
      </c>
      <c r="AW4">
        <f>COUNTIFS(EFFECTIF!E:E,"Cadre",EFFECTIF!R:R,1)</f>
        <v>10</v>
      </c>
      <c r="AX4">
        <f>COUNTIFS(EFFECTIF!E:E,"Cadre",EFFECTIF!R:R,2)</f>
        <v>0</v>
      </c>
      <c r="AY4">
        <f>+AW4+AX4</f>
        <v>10</v>
      </c>
    </row>
    <row r="5" spans="3:51" ht="15.75" x14ac:dyDescent="0.25">
      <c r="C5" t="s">
        <v>445</v>
      </c>
      <c r="D5" s="4">
        <f ca="1">COUNTIFS(EFFECTIF!Q:Q,C5,EFFECTIF!R:R,'Pyramide age'!$D$1,EFFECTIF!P:P,'Pyramide age'!$D$2)</f>
        <v>0</v>
      </c>
      <c r="E5" s="4">
        <f ca="1">COUNTIFS(EFFECTIF!Q:Q,C5,EFFECTIF!R:R,'Pyramide age'!$E$1,EFFECTIF!P:P,'Pyramide age'!$D$2)</f>
        <v>0</v>
      </c>
      <c r="F5">
        <f ca="1">E5*-1</f>
        <v>0</v>
      </c>
      <c r="H5" t="s">
        <v>445</v>
      </c>
      <c r="I5" s="4">
        <f ca="1">COUNTIFS(EFFECTIF!Q:Q,C5,EFFECTIF!R:R,'Pyramide age'!$D$1,EFFECTIF!P:P,'Pyramide age'!$I$2)</f>
        <v>0</v>
      </c>
      <c r="J5" s="4">
        <f ca="1">COUNTIFS(EFFECTIF!Q:Q,C5,EFFECTIF!R:R,'Pyramide age'!$E2,EFFECTIF!P:P,'Pyramide age'!$I$2)</f>
        <v>0</v>
      </c>
      <c r="K5">
        <f t="shared" ca="1" si="0"/>
        <v>0</v>
      </c>
      <c r="M5" t="s">
        <v>445</v>
      </c>
      <c r="N5" s="4">
        <f ca="1">COUNTIFS(EFFECTIF!Q:Q,C5,EFFECTIF!R:R,'Pyramide age'!$D$1,EFFECTIF!P:P,'Pyramide age'!$N$2)</f>
        <v>0</v>
      </c>
      <c r="O5" s="4">
        <f ca="1">COUNTIFS(EFFECTIF!Q:Q,C5,EFFECTIF!R:R,'Pyramide age'!$E$1,EFFECTIF!P:P,'Pyramide age'!$N$2)</f>
        <v>0</v>
      </c>
      <c r="P5" s="4">
        <f t="shared" ca="1" si="1"/>
        <v>0</v>
      </c>
      <c r="R5" t="s">
        <v>445</v>
      </c>
      <c r="S5" s="4">
        <f ca="1">COUNTIFS(EFFECTIF!Q:Q,C5,EFFECTIF!R:R,'Pyramide age'!$D$1,EFFECTIF!P:P,'Pyramide age'!$S$2)</f>
        <v>5</v>
      </c>
      <c r="T5" s="4">
        <f ca="1">COUNTIFS(EFFECTIF!Q:Q,C5,EFFECTIF!R:R,'Pyramide age'!$E$1,EFFECTIF!P:P,'Pyramide age'!$S$2)</f>
        <v>0</v>
      </c>
      <c r="U5">
        <f t="shared" ca="1" si="2"/>
        <v>0</v>
      </c>
      <c r="AB5" t="s">
        <v>446</v>
      </c>
      <c r="AC5" s="4">
        <f ca="1">COUNTIFS(EFFECTIF!Q:Q,M6,EFFECTIF!R:R,'Pyramide age'!$D$1)</f>
        <v>22</v>
      </c>
      <c r="AD5" s="4">
        <f ca="1">COUNTIFS(EFFECTIF!Q:Q,M6,EFFECTIF!R:R,'Pyramide age'!$E$1)</f>
        <v>0</v>
      </c>
      <c r="AE5">
        <f t="shared" ca="1" si="3"/>
        <v>0</v>
      </c>
      <c r="AG5" s="50">
        <v>31</v>
      </c>
      <c r="AH5" s="50">
        <v>5</v>
      </c>
      <c r="AJ5" t="s">
        <v>447</v>
      </c>
      <c r="AK5" s="4">
        <f ca="1">IF(COUNTIFS(EFFECTIF!T:T,AJ5,EFFECTIF!R:R,'Pyramide age'!$D$1)=0,"",COUNTIFS(EFFECTIF!T:T,AJ5,EFFECTIF!R:R,'Pyramide age'!$D$1))</f>
        <v>23</v>
      </c>
      <c r="AL5" s="4">
        <f ca="1">IF(COUNTIFS(EFFECTIF!T:T,AJ5,EFFECTIF!R:R,'Pyramide age'!$E$1)=0,"",COUNTIFS(EFFECTIF!T:T,AJ5,EFFECTIF!R:R,'Pyramide age'!$E$1))</f>
        <v>1</v>
      </c>
      <c r="AM5">
        <f ca="1">IF(COUNTIFS(EFFECTIF!T:T,AJ5,EFFECTIF!R:R,'Pyramide age'!$E$1)=0,"",AL5*-1)</f>
        <v>-1</v>
      </c>
      <c r="AW5" s="32">
        <f>+AW4/$AY$4</f>
        <v>1</v>
      </c>
      <c r="AX5" s="32">
        <f>+AX4/$AY$4</f>
        <v>0</v>
      </c>
    </row>
    <row r="6" spans="3:51" ht="16.5" thickBot="1" x14ac:dyDescent="0.3">
      <c r="C6" t="s">
        <v>446</v>
      </c>
      <c r="D6" s="4">
        <f ca="1">COUNTIFS(EFFECTIF!Q:Q,C6,EFFECTIF!R:R,'Pyramide age'!$D$1,EFFECTIF!P:P,'Pyramide age'!$D$2)</f>
        <v>0</v>
      </c>
      <c r="E6" s="4">
        <f ca="1">COUNTIFS(EFFECTIF!Q:Q,C6,EFFECTIF!R:R,'Pyramide age'!$E$1,EFFECTIF!P:P,'Pyramide age'!$D$2)</f>
        <v>0</v>
      </c>
      <c r="F6">
        <f ca="1">E6*-1</f>
        <v>0</v>
      </c>
      <c r="H6" t="s">
        <v>446</v>
      </c>
      <c r="I6" s="4">
        <f ca="1">COUNTIFS(EFFECTIF!Q:Q,C6,EFFECTIF!R:R,'Pyramide age'!$D$1,EFFECTIF!P:P,'Pyramide age'!$I$2)</f>
        <v>0</v>
      </c>
      <c r="J6" s="4">
        <f ca="1">COUNTIFS(EFFECTIF!Q:Q,C6,EFFECTIF!R:R,'Pyramide age'!$E3,EFFECTIF!P:P,'Pyramide age'!$I$2)</f>
        <v>0</v>
      </c>
      <c r="K6">
        <f t="shared" ca="1" si="0"/>
        <v>0</v>
      </c>
      <c r="M6" t="s">
        <v>446</v>
      </c>
      <c r="N6" s="4">
        <f ca="1">COUNTIFS(EFFECTIF!Q:Q,C6,EFFECTIF!R:R,'Pyramide age'!$D$1,EFFECTIF!P:P,'Pyramide age'!$N$2)</f>
        <v>0</v>
      </c>
      <c r="O6" s="4">
        <f ca="1">COUNTIFS(EFFECTIF!Q:Q,C6,EFFECTIF!R:R,'Pyramide age'!$E$1,EFFECTIF!P:P,'Pyramide age'!$N$2)</f>
        <v>0</v>
      </c>
      <c r="P6" s="4">
        <f t="shared" ca="1" si="1"/>
        <v>0</v>
      </c>
      <c r="R6" t="s">
        <v>446</v>
      </c>
      <c r="S6" s="4">
        <f ca="1">COUNTIFS(EFFECTIF!Q:Q,C6,EFFECTIF!R:R,'Pyramide age'!$D$1,EFFECTIF!P:P,'Pyramide age'!$S$2)</f>
        <v>22</v>
      </c>
      <c r="T6" s="4">
        <f ca="1">COUNTIFS(EFFECTIF!Q:Q,C6,EFFECTIF!R:R,'Pyramide age'!$E$1,EFFECTIF!P:P,'Pyramide age'!$S$2)</f>
        <v>0</v>
      </c>
      <c r="U6">
        <f t="shared" ca="1" si="2"/>
        <v>0</v>
      </c>
      <c r="AB6" t="s">
        <v>448</v>
      </c>
      <c r="AC6" s="4">
        <f ca="1">COUNTIFS(EFFECTIF!Q:Q,M7,EFFECTIF!R:R,'Pyramide age'!$D$1)</f>
        <v>6</v>
      </c>
      <c r="AD6" s="4">
        <f ca="1">COUNTIFS(EFFECTIF!Q:Q,M7,EFFECTIF!R:R,'Pyramide age'!$E$1)</f>
        <v>0</v>
      </c>
      <c r="AE6">
        <f t="shared" ca="1" si="3"/>
        <v>0</v>
      </c>
      <c r="AG6" s="51">
        <v>30</v>
      </c>
      <c r="AH6" s="51">
        <v>20</v>
      </c>
      <c r="AJ6" t="s">
        <v>449</v>
      </c>
      <c r="AK6" s="4">
        <f ca="1">IF(COUNTIFS(EFFECTIF!T:T,AJ6,EFFECTIF!R:R,'Pyramide age'!$D$1)=0,"",COUNTIFS(EFFECTIF!T:T,AJ6,EFFECTIF!R:R,'Pyramide age'!$D$1))</f>
        <v>4</v>
      </c>
      <c r="AL6" s="4">
        <f ca="1">IF(COUNTIFS(EFFECTIF!T:T,AJ6,EFFECTIF!R:R,'Pyramide age'!$E$1)=0,"",COUNTIFS(EFFECTIF!T:T,AJ6,EFFECTIF!R:R,'Pyramide age'!$E$1))</f>
        <v>2</v>
      </c>
      <c r="AM6">
        <f ca="1">IF(COUNTIFS(EFFECTIF!T:T,AJ6,EFFECTIF!R:R,'Pyramide age'!$E$1)=0,"",AL6*-1)</f>
        <v>-2</v>
      </c>
    </row>
    <row r="7" spans="3:51" ht="15.75" thickTop="1" x14ac:dyDescent="0.25">
      <c r="C7" t="s">
        <v>448</v>
      </c>
      <c r="D7" s="4">
        <f ca="1">COUNTIFS(EFFECTIF!Q:Q,C7,EFFECTIF!R:R,'Pyramide age'!$D$1,EFFECTIF!P:P,'Pyramide age'!$D$2)</f>
        <v>0</v>
      </c>
      <c r="E7" s="4">
        <f ca="1">COUNTIFS(EFFECTIF!Q:Q,C7,EFFECTIF!R:R,'Pyramide age'!$E$1,EFFECTIF!P:P,'Pyramide age'!$D$2)</f>
        <v>0</v>
      </c>
      <c r="F7">
        <f ca="1">E7*-1</f>
        <v>0</v>
      </c>
      <c r="H7" t="s">
        <v>448</v>
      </c>
      <c r="I7" s="4">
        <f ca="1">COUNTIFS(EFFECTIF!Q:Q,C7,EFFECTIF!R:R,'Pyramide age'!$D$1,EFFECTIF!P:P,'Pyramide age'!$I$2)</f>
        <v>0</v>
      </c>
      <c r="J7" s="4">
        <f ca="1">COUNTIFS(EFFECTIF!Q:Q,C7,EFFECTIF!R:R,'Pyramide age'!$E4,EFFECTIF!P:P,'Pyramide age'!$I$2)</f>
        <v>0</v>
      </c>
      <c r="K7">
        <f t="shared" ca="1" si="0"/>
        <v>0</v>
      </c>
      <c r="M7" t="s">
        <v>448</v>
      </c>
      <c r="N7" s="4">
        <f ca="1">COUNTIFS(EFFECTIF!Q:Q,C7,EFFECTIF!R:R,'Pyramide age'!$D$1,EFFECTIF!P:P,'Pyramide age'!$N$2)</f>
        <v>0</v>
      </c>
      <c r="O7" s="4">
        <f ca="1">COUNTIFS(EFFECTIF!Q:Q,C7,EFFECTIF!R:R,'Pyramide age'!$E$1,EFFECTIF!P:P,'Pyramide age'!$N$2)</f>
        <v>0</v>
      </c>
      <c r="P7" s="4">
        <f t="shared" ca="1" si="1"/>
        <v>0</v>
      </c>
      <c r="R7" t="s">
        <v>448</v>
      </c>
      <c r="S7" s="4">
        <f ca="1">COUNTIFS(EFFECTIF!Q:Q,C7,EFFECTIF!R:R,'Pyramide age'!$D$1,EFFECTIF!P:P,'Pyramide age'!$S$2)</f>
        <v>6</v>
      </c>
      <c r="T7" s="4">
        <f ca="1">COUNTIFS(EFFECTIF!Q:Q,C7,EFFECTIF!R:R,'Pyramide age'!$E$1,EFFECTIF!P:P,'Pyramide age'!$S$2)</f>
        <v>0</v>
      </c>
      <c r="U7">
        <f t="shared" ca="1" si="2"/>
        <v>0</v>
      </c>
      <c r="AB7" t="s">
        <v>450</v>
      </c>
      <c r="AC7" s="4">
        <f ca="1">COUNTIFS(EFFECTIF!Q:Q,M8,EFFECTIF!R:R,'Pyramide age'!$D$1)</f>
        <v>15</v>
      </c>
      <c r="AD7" s="4">
        <f ca="1">COUNTIFS(EFFECTIF!Q:Q,M8,EFFECTIF!R:R,'Pyramide age'!$E$1)</f>
        <v>0</v>
      </c>
      <c r="AE7">
        <f t="shared" ca="1" si="3"/>
        <v>0</v>
      </c>
      <c r="AG7">
        <f>SUM(AG3:AG6)</f>
        <v>564</v>
      </c>
      <c r="AH7">
        <f>SUM(AH3:AH6)</f>
        <v>45</v>
      </c>
      <c r="AJ7" t="s">
        <v>451</v>
      </c>
      <c r="AK7" s="4">
        <f ca="1">IF(COUNTIFS(EFFECTIF!T:T,AJ7,EFFECTIF!R:R,'Pyramide age'!$D$1)=0,"",COUNTIFS(EFFECTIF!T:T,AJ7,EFFECTIF!R:R,'Pyramide age'!$D$1))</f>
        <v>3</v>
      </c>
      <c r="AL7" s="4" t="str">
        <f ca="1">IF(COUNTIFS(EFFECTIF!T:T,AJ7,EFFECTIF!R:R,'Pyramide age'!$E$1)=0,"",COUNTIFS(EFFECTIF!T:T,AJ7,EFFECTIF!R:R,'Pyramide age'!$E$1))</f>
        <v/>
      </c>
      <c r="AM7" t="str">
        <f ca="1">IF(COUNTIFS(EFFECTIF!T:T,AJ7,EFFECTIF!R:R,'Pyramide age'!$E$1)=0,"",AL7*-1)</f>
        <v/>
      </c>
    </row>
    <row r="8" spans="3:51" x14ac:dyDescent="0.25">
      <c r="C8" t="s">
        <v>450</v>
      </c>
      <c r="D8" s="4">
        <f ca="1">COUNTIFS(EFFECTIF!Q:Q,C8,EFFECTIF!R:R,'Pyramide age'!$D$1,EFFECTIF!P:P,'Pyramide age'!$D$2)</f>
        <v>0</v>
      </c>
      <c r="E8" s="4">
        <f ca="1">COUNTIFS(EFFECTIF!Q:Q,C8,EFFECTIF!R:R,'Pyramide age'!$E$1,EFFECTIF!P:P,'Pyramide age'!$D$2)</f>
        <v>0</v>
      </c>
      <c r="H8" t="s">
        <v>450</v>
      </c>
      <c r="I8" s="4">
        <f ca="1">COUNTIFS(EFFECTIF!Q:Q,C8,EFFECTIF!R:R,'Pyramide age'!$D$1,EFFECTIF!P:P,'Pyramide age'!$I$2)</f>
        <v>0</v>
      </c>
      <c r="J8" s="4">
        <f ca="1">COUNTIFS(EFFECTIF!Q:Q,C8,EFFECTIF!R:R,'Pyramide age'!$E5,EFFECTIF!P:P,'Pyramide age'!$I$2)</f>
        <v>0</v>
      </c>
      <c r="K8">
        <f t="shared" ca="1" si="0"/>
        <v>0</v>
      </c>
      <c r="M8" t="s">
        <v>450</v>
      </c>
      <c r="N8" s="4">
        <f ca="1">COUNTIFS(EFFECTIF!Q:Q,C8,EFFECTIF!R:R,'Pyramide age'!$D$1,EFFECTIF!P:P,'Pyramide age'!$N$2)</f>
        <v>0</v>
      </c>
      <c r="O8" s="4">
        <f ca="1">COUNTIFS(EFFECTIF!Q:Q,C8,EFFECTIF!R:R,'Pyramide age'!$E$1,EFFECTIF!P:P,'Pyramide age'!$N$2)</f>
        <v>0</v>
      </c>
      <c r="P8" s="4">
        <f t="shared" ca="1" si="1"/>
        <v>0</v>
      </c>
      <c r="R8" t="s">
        <v>450</v>
      </c>
      <c r="S8" s="4">
        <f ca="1">COUNTIFS(EFFECTIF!Q:Q,C8,EFFECTIF!R:R,'Pyramide age'!$D$1,EFFECTIF!P:P,'Pyramide age'!$S$2)</f>
        <v>15</v>
      </c>
      <c r="T8" s="4">
        <f ca="1">COUNTIFS(EFFECTIF!Q:Q,C8,EFFECTIF!R:R,'Pyramide age'!$E$1,EFFECTIF!P:P,'Pyramide age'!$S$2)</f>
        <v>0</v>
      </c>
      <c r="U8">
        <f t="shared" ca="1" si="2"/>
        <v>0</v>
      </c>
      <c r="AB8" t="s">
        <v>452</v>
      </c>
      <c r="AC8" s="4">
        <f ca="1">COUNTIFS(EFFECTIF!Q:Q,M9,EFFECTIF!R:R,'Pyramide age'!$D$1)</f>
        <v>17</v>
      </c>
      <c r="AD8" s="4">
        <f ca="1">COUNTIFS(EFFECTIF!Q:Q,M9,EFFECTIF!R:R,'Pyramide age'!$E$1)</f>
        <v>2</v>
      </c>
      <c r="AE8">
        <f t="shared" ca="1" si="3"/>
        <v>-2</v>
      </c>
      <c r="AJ8" t="s">
        <v>453</v>
      </c>
      <c r="AK8" s="4">
        <f ca="1">IF(COUNTIFS(EFFECTIF!T:T,AJ8,EFFECTIF!R:R,'Pyramide age'!$D$1)=0,"",COUNTIFS(EFFECTIF!T:T,AJ8,EFFECTIF!R:R,'Pyramide age'!$D$1))</f>
        <v>10</v>
      </c>
      <c r="AL8" s="4">
        <f ca="1">IF(COUNTIFS(EFFECTIF!T:T,AJ8,EFFECTIF!R:R,'Pyramide age'!$E$1)=0,"",COUNTIFS(EFFECTIF!T:T,AJ8,EFFECTIF!R:R,'Pyramide age'!$E$1))</f>
        <v>1</v>
      </c>
      <c r="AM8">
        <f ca="1">IF(COUNTIFS(EFFECTIF!T:T,AJ8,EFFECTIF!R:R,'Pyramide age'!$E$1)=0,"",AL8*-1)</f>
        <v>-1</v>
      </c>
      <c r="AS8">
        <f>+COUNT(EFFECTIF!K2:K159)</f>
        <v>158</v>
      </c>
    </row>
    <row r="9" spans="3:51" x14ac:dyDescent="0.25">
      <c r="C9" t="s">
        <v>452</v>
      </c>
      <c r="D9" s="4">
        <f ca="1">COUNTIFS(EFFECTIF!Q:Q,C9,EFFECTIF!R:R,'Pyramide age'!$D$1,EFFECTIF!P:P,'Pyramide age'!$D$2)</f>
        <v>0</v>
      </c>
      <c r="E9" s="4">
        <f ca="1">COUNTIFS(EFFECTIF!Q:Q,C9,EFFECTIF!R:R,'Pyramide age'!$E$1,EFFECTIF!P:P,'Pyramide age'!$D$2)</f>
        <v>0</v>
      </c>
      <c r="H9" t="s">
        <v>452</v>
      </c>
      <c r="I9" s="4">
        <f ca="1">COUNTIFS(EFFECTIF!Q:Q,C9,EFFECTIF!R:R,'Pyramide age'!$D$1,EFFECTIF!P:P,'Pyramide age'!$I$2)</f>
        <v>0</v>
      </c>
      <c r="J9" s="4">
        <f ca="1">COUNTIFS(EFFECTIF!Q:Q,C9,EFFECTIF!R:R,'Pyramide age'!$E6,EFFECTIF!P:P,'Pyramide age'!$I$2)</f>
        <v>0</v>
      </c>
      <c r="K9">
        <f t="shared" ca="1" si="0"/>
        <v>0</v>
      </c>
      <c r="M9" t="s">
        <v>452</v>
      </c>
      <c r="N9" s="4">
        <f ca="1">COUNTIFS(EFFECTIF!Q:Q,C9,EFFECTIF!R:R,'Pyramide age'!$D$1,EFFECTIF!P:P,'Pyramide age'!$N$2)</f>
        <v>0</v>
      </c>
      <c r="O9" s="4">
        <f ca="1">COUNTIFS(EFFECTIF!Q:Q,C9,EFFECTIF!R:R,'Pyramide age'!$E$1,EFFECTIF!P:P,'Pyramide age'!$N$2)</f>
        <v>0</v>
      </c>
      <c r="P9" s="4">
        <f t="shared" ca="1" si="1"/>
        <v>0</v>
      </c>
      <c r="R9" t="s">
        <v>452</v>
      </c>
      <c r="S9" s="4">
        <f ca="1">COUNTIFS(EFFECTIF!Q:Q,C9,EFFECTIF!R:R,'Pyramide age'!$D$1,EFFECTIF!P:P,'Pyramide age'!$S$2)</f>
        <v>17</v>
      </c>
      <c r="T9" s="4">
        <f ca="1">COUNTIFS(EFFECTIF!Q:Q,C9,EFFECTIF!R:R,'Pyramide age'!$E$1,EFFECTIF!P:P,'Pyramide age'!$S$2)</f>
        <v>2</v>
      </c>
      <c r="U9">
        <f t="shared" ca="1" si="2"/>
        <v>-2</v>
      </c>
      <c r="AB9" t="s">
        <v>454</v>
      </c>
      <c r="AC9" s="4">
        <f ca="1">COUNTIFS(EFFECTIF!Q:Q,M10,EFFECTIF!R:R,'Pyramide age'!$D$1)</f>
        <v>22</v>
      </c>
      <c r="AD9" s="4">
        <f ca="1">COUNTIFS(EFFECTIF!Q:Q,M10,EFFECTIF!R:R,'Pyramide age'!$E$1)</f>
        <v>3</v>
      </c>
      <c r="AE9">
        <f t="shared" ca="1" si="3"/>
        <v>-3</v>
      </c>
      <c r="AJ9" t="s">
        <v>455</v>
      </c>
      <c r="AK9" s="4">
        <f ca="1">IF(COUNTIFS(EFFECTIF!T:T,AJ9,EFFECTIF!R:R,'Pyramide age'!$D$1)=0,"",COUNTIFS(EFFECTIF!T:T,AJ9,EFFECTIF!R:R,'Pyramide age'!$D$1))</f>
        <v>6</v>
      </c>
      <c r="AL9" s="4" t="str">
        <f ca="1">IF(COUNTIFS(EFFECTIF!T:T,AJ9,EFFECTIF!R:R,'Pyramide age'!$E$1)=0,"",COUNTIFS(EFFECTIF!T:T,AJ9,EFFECTIF!R:R,'Pyramide age'!$E$1))</f>
        <v/>
      </c>
      <c r="AM9" t="str">
        <f ca="1">IF(COUNTIFS(EFFECTIF!T:T,AJ9,EFFECTIF!R:R,'Pyramide age'!$E$1)=0,"",AL9*-1)</f>
        <v/>
      </c>
    </row>
    <row r="10" spans="3:51" x14ac:dyDescent="0.25">
      <c r="C10" t="s">
        <v>454</v>
      </c>
      <c r="D10" s="4">
        <f ca="1">COUNTIFS(EFFECTIF!Q:Q,C10,EFFECTIF!R:R,'Pyramide age'!$D$1,EFFECTIF!P:P,'Pyramide age'!$D$2)</f>
        <v>0</v>
      </c>
      <c r="E10" s="4">
        <f ca="1">COUNTIFS(EFFECTIF!Q:Q,C10,EFFECTIF!R:R,'Pyramide age'!$E$1,EFFECTIF!P:P,'Pyramide age'!$D$2)</f>
        <v>0</v>
      </c>
      <c r="H10" t="s">
        <v>454</v>
      </c>
      <c r="I10" s="4">
        <f ca="1">COUNTIFS(EFFECTIF!Q:Q,C10,EFFECTIF!R:R,'Pyramide age'!$D$1,EFFECTIF!P:P,'Pyramide age'!$I$2)</f>
        <v>0</v>
      </c>
      <c r="J10" s="4">
        <f ca="1">COUNTIFS(EFFECTIF!Q:Q,C10,EFFECTIF!R:R,'Pyramide age'!$E7,EFFECTIF!P:P,'Pyramide age'!$I$2)</f>
        <v>0</v>
      </c>
      <c r="K10">
        <f t="shared" ca="1" si="0"/>
        <v>0</v>
      </c>
      <c r="M10" t="s">
        <v>454</v>
      </c>
      <c r="N10" s="4">
        <f ca="1">COUNTIFS(EFFECTIF!Q:Q,C10,EFFECTIF!R:R,'Pyramide age'!$D$1,EFFECTIF!P:P,'Pyramide age'!$N$2)</f>
        <v>0</v>
      </c>
      <c r="O10" s="4">
        <f ca="1">COUNTIFS(EFFECTIF!Q:Q,C10,EFFECTIF!R:R,'Pyramide age'!$E$1,EFFECTIF!P:P,'Pyramide age'!$N$2)</f>
        <v>0</v>
      </c>
      <c r="P10" s="4">
        <f t="shared" ca="1" si="1"/>
        <v>0</v>
      </c>
      <c r="R10" t="s">
        <v>454</v>
      </c>
      <c r="S10" s="4">
        <f ca="1">COUNTIFS(EFFECTIF!Q:Q,C10,EFFECTIF!R:R,'Pyramide age'!$D$1,EFFECTIF!P:P,'Pyramide age'!$S$2)</f>
        <v>22</v>
      </c>
      <c r="T10" s="4">
        <f ca="1">COUNTIFS(EFFECTIF!Q:Q,C10,EFFECTIF!R:R,'Pyramide age'!$E$1,EFFECTIF!P:P,'Pyramide age'!$S$2)</f>
        <v>3</v>
      </c>
      <c r="U10">
        <f t="shared" ca="1" si="2"/>
        <v>-3</v>
      </c>
      <c r="AB10" t="s">
        <v>456</v>
      </c>
      <c r="AC10" s="4">
        <f ca="1">COUNTIFS(EFFECTIF!Q:Q,M11,EFFECTIF!R:R,'Pyramide age'!$D$1)</f>
        <v>19</v>
      </c>
      <c r="AD10" s="4">
        <f ca="1">COUNTIFS(EFFECTIF!Q:Q,M11,EFFECTIF!R:R,'Pyramide age'!$E$1)</f>
        <v>1</v>
      </c>
      <c r="AE10">
        <f t="shared" ca="1" si="3"/>
        <v>-1</v>
      </c>
      <c r="AJ10" t="s">
        <v>456</v>
      </c>
      <c r="AK10" s="4">
        <f ca="1">IF(COUNTIFS(EFFECTIF!T:T,AJ10,EFFECTIF!R:R,'Pyramide age'!$D$1)=0,"",COUNTIFS(EFFECTIF!T:T,AJ10,EFFECTIF!R:R,'Pyramide age'!$D$1))</f>
        <v>36</v>
      </c>
      <c r="AL10" s="4" t="str">
        <f ca="1">IF(COUNTIFS(EFFECTIF!T:T,AJ10,EFFECTIF!R:R,'Pyramide age'!$E$1)=0,"",COUNTIFS(EFFECTIF!T:T,AJ10,EFFECTIF!R:R,'Pyramide age'!$E$1))</f>
        <v/>
      </c>
      <c r="AM10" t="str">
        <f ca="1">IF(COUNTIFS(EFFECTIF!T:T,AJ10,EFFECTIF!R:R,'Pyramide age'!$E$1)=0,"",AL10*-1)</f>
        <v/>
      </c>
    </row>
    <row r="11" spans="3:51" x14ac:dyDescent="0.25">
      <c r="C11" t="s">
        <v>456</v>
      </c>
      <c r="D11" s="4">
        <f ca="1">COUNTIFS(EFFECTIF!Q:Q,C11,EFFECTIF!R:R,'Pyramide age'!$D$1,EFFECTIF!P:P,'Pyramide age'!$D$2)</f>
        <v>0</v>
      </c>
      <c r="E11" s="4">
        <f ca="1">COUNTIFS(EFFECTIF!Q:Q,C11,EFFECTIF!R:R,'Pyramide age'!$E$1,EFFECTIF!P:P,'Pyramide age'!$D$2)</f>
        <v>0</v>
      </c>
      <c r="H11" t="s">
        <v>456</v>
      </c>
      <c r="I11" s="4">
        <f ca="1">COUNTIFS(EFFECTIF!Q:Q,C11,EFFECTIF!R:R,'Pyramide age'!$D$1,EFFECTIF!P:P,'Pyramide age'!$I$2)</f>
        <v>0</v>
      </c>
      <c r="J11" s="4">
        <f ca="1">COUNTIFS(EFFECTIF!Q:Q,C11,EFFECTIF!R:R,'Pyramide age'!$E8,EFFECTIF!P:P,'Pyramide age'!$I$2)</f>
        <v>0</v>
      </c>
      <c r="K11">
        <f t="shared" ca="1" si="0"/>
        <v>0</v>
      </c>
      <c r="M11" t="s">
        <v>456</v>
      </c>
      <c r="N11" s="4">
        <f ca="1">COUNTIFS(EFFECTIF!Q:Q,C11,EFFECTIF!R:R,'Pyramide age'!$D$1,EFFECTIF!P:P,'Pyramide age'!$N$2)</f>
        <v>0</v>
      </c>
      <c r="O11" s="4">
        <f ca="1">COUNTIFS(EFFECTIF!Q:Q,C11,EFFECTIF!R:R,'Pyramide age'!$E$1,EFFECTIF!P:P,'Pyramide age'!$N$2)</f>
        <v>0</v>
      </c>
      <c r="P11" s="4">
        <f t="shared" ca="1" si="1"/>
        <v>0</v>
      </c>
      <c r="R11" t="s">
        <v>456</v>
      </c>
      <c r="S11" s="4">
        <f ca="1">COUNTIFS(EFFECTIF!Q:Q,C11,EFFECTIF!R:R,'Pyramide age'!$D$1,EFFECTIF!P:P,'Pyramide age'!$S$2)</f>
        <v>19</v>
      </c>
      <c r="T11" s="4">
        <f ca="1">COUNTIFS(EFFECTIF!Q:Q,C11,EFFECTIF!R:R,'Pyramide age'!$E$1,EFFECTIF!P:P,'Pyramide age'!$S$2)</f>
        <v>1</v>
      </c>
      <c r="U11">
        <f t="shared" ca="1" si="2"/>
        <v>-1</v>
      </c>
      <c r="AB11" t="s">
        <v>457</v>
      </c>
      <c r="AC11" s="4">
        <f ca="1">COUNTIFS(EFFECTIF!Q:Q,M12,EFFECTIF!R:R,'Pyramide age'!$D$1)</f>
        <v>9</v>
      </c>
      <c r="AD11" s="4">
        <f ca="1">COUNTIFS(EFFECTIF!Q:Q,M12,EFFECTIF!R:R,'Pyramide age'!$E$1)</f>
        <v>0</v>
      </c>
      <c r="AE11">
        <f t="shared" ca="1" si="3"/>
        <v>0</v>
      </c>
      <c r="AJ11" t="s">
        <v>454</v>
      </c>
      <c r="AK11" s="4">
        <f ca="1">IF(COUNTIFS(EFFECTIF!T:T,AJ11,EFFECTIF!R:R,'Pyramide age'!$D$1)=0,"",COUNTIFS(EFFECTIF!T:T,AJ11,EFFECTIF!R:R,'Pyramide age'!$D$1))</f>
        <v>6</v>
      </c>
      <c r="AL11" s="4" t="str">
        <f ca="1">IF(COUNTIFS(EFFECTIF!T:T,AJ11,EFFECTIF!R:R,'Pyramide age'!$E$1)=0,"",COUNTIFS(EFFECTIF!T:T,AJ11,EFFECTIF!R:R,'Pyramide age'!$E$1))</f>
        <v/>
      </c>
      <c r="AM11" t="str">
        <f ca="1">IF(COUNTIFS(EFFECTIF!T:T,AJ11,EFFECTIF!R:R,'Pyramide age'!$E$1)=0,"",AL11*-1)</f>
        <v/>
      </c>
    </row>
    <row r="12" spans="3:51" x14ac:dyDescent="0.25">
      <c r="C12" t="s">
        <v>458</v>
      </c>
      <c r="D12" s="4">
        <f ca="1">COUNTIFS(EFFECTIF!Q:Q,C12,EFFECTIF!R:R,'Pyramide age'!$D$1,EFFECTIF!P:P,'Pyramide age'!$D$2)</f>
        <v>0</v>
      </c>
      <c r="E12" s="4">
        <f ca="1">COUNTIFS(EFFECTIF!Q:Q,C12,EFFECTIF!R:R,'Pyramide age'!$E$1,EFFECTIF!P:P,'Pyramide age'!$D$2)</f>
        <v>0</v>
      </c>
      <c r="H12" t="s">
        <v>458</v>
      </c>
      <c r="I12" s="4">
        <f ca="1">COUNTIFS(EFFECTIF!Q:Q,C12,EFFECTIF!R:R,'Pyramide age'!$D$1,EFFECTIF!P:P,'Pyramide age'!$I$2)</f>
        <v>0</v>
      </c>
      <c r="J12" s="4">
        <f ca="1">COUNTIFS(EFFECTIF!Q:Q,C12,EFFECTIF!R:R,'Pyramide age'!$E9,EFFECTIF!P:P,'Pyramide age'!$I$2)</f>
        <v>0</v>
      </c>
      <c r="K12">
        <f t="shared" ca="1" si="0"/>
        <v>0</v>
      </c>
      <c r="M12" t="s">
        <v>457</v>
      </c>
      <c r="N12" s="4">
        <f ca="1">COUNTIFS(EFFECTIF!Q:Q,C12,EFFECTIF!R:R,'Pyramide age'!$D$1,EFFECTIF!P:P,'Pyramide age'!$N$2)</f>
        <v>0</v>
      </c>
      <c r="O12" s="4">
        <f ca="1">COUNTIFS(EFFECTIF!Q:Q,C12,EFFECTIF!R:R,'Pyramide age'!$E$1,EFFECTIF!P:P,'Pyramide age'!$N$2)</f>
        <v>0</v>
      </c>
      <c r="P12" s="4">
        <f t="shared" ca="1" si="1"/>
        <v>0</v>
      </c>
      <c r="R12" t="s">
        <v>457</v>
      </c>
      <c r="S12" s="4">
        <f ca="1">COUNTIFS(EFFECTIF!Q:Q,C12,EFFECTIF!R:R,'Pyramide age'!$D$1,EFFECTIF!P:P,'Pyramide age'!$S$2)</f>
        <v>0</v>
      </c>
      <c r="T12" s="4">
        <f ca="1">COUNTIFS(EFFECTIF!Q:Q,C12,EFFECTIF!R:R,'Pyramide age'!$E$1,EFFECTIF!P:P,'Pyramide age'!$S$2)</f>
        <v>0</v>
      </c>
      <c r="U12">
        <f t="shared" ca="1" si="2"/>
        <v>0</v>
      </c>
      <c r="AC12">
        <f ca="1">SUM(AC4:AC11)</f>
        <v>135</v>
      </c>
      <c r="AD12">
        <f ca="1">SUM(AD4:AD11)</f>
        <v>6</v>
      </c>
      <c r="AJ12" t="s">
        <v>452</v>
      </c>
      <c r="AK12" s="4">
        <f ca="1">IF(COUNTIFS(EFFECTIF!T:T,AJ12,EFFECTIF!R:R,'Pyramide age'!$D$1)=0,"",COUNTIFS(EFFECTIF!T:T,AJ12,EFFECTIF!R:R,'Pyramide age'!$D$1))</f>
        <v>10</v>
      </c>
      <c r="AL12" s="4" t="str">
        <f ca="1">IF(COUNTIFS(EFFECTIF!T:T,AJ12,EFFECTIF!R:R,'Pyramide age'!$E$1)=0,"",COUNTIFS(EFFECTIF!T:T,AJ12,EFFECTIF!R:R,'Pyramide age'!$E$1))</f>
        <v/>
      </c>
      <c r="AM12" t="str">
        <f ca="1">IF(COUNTIFS(EFFECTIF!T:T,AJ12,EFFECTIF!R:R,'Pyramide age'!$E$1)=0,"",AL12*-1)</f>
        <v/>
      </c>
    </row>
    <row r="13" spans="3:51" x14ac:dyDescent="0.25">
      <c r="D13" s="4"/>
      <c r="E13" s="4"/>
      <c r="I13" s="4"/>
      <c r="J13" s="4"/>
      <c r="N13" s="4"/>
      <c r="O13" s="4"/>
      <c r="P13" s="4"/>
      <c r="S13" s="4"/>
      <c r="T13" s="4"/>
      <c r="AC13" s="32">
        <f ca="1">+AC12/147</f>
        <v>0.91836734693877553</v>
      </c>
      <c r="AD13" s="32">
        <f ca="1">+AD12/147</f>
        <v>4.0816326530612242E-2</v>
      </c>
      <c r="AJ13" t="s">
        <v>459</v>
      </c>
      <c r="AK13" s="4">
        <f ca="1">IF(COUNTIFS(EFFECTIF!T:T,AJ13,EFFECTIF!R:R,'Pyramide age'!$D$1)=0,"",COUNTIFS(EFFECTIF!T:T,AJ13,EFFECTIF!R:R,'Pyramide age'!$D$1))</f>
        <v>1</v>
      </c>
      <c r="AL13" s="4" t="str">
        <f ca="1">IF(COUNTIFS(EFFECTIF!T:T,AJ13,EFFECTIF!R:R,'Pyramide age'!$E$1)=0,"",COUNTIFS(EFFECTIF!T:T,AJ13,EFFECTIF!R:R,'Pyramide age'!$E$1))</f>
        <v/>
      </c>
      <c r="AM13" t="str">
        <f ca="1">IF(COUNTIFS(EFFECTIF!T:T,AJ13,EFFECTIF!R:R,'Pyramide age'!$E$1)=0,"",AL13*-1)</f>
        <v/>
      </c>
    </row>
    <row r="14" spans="3:51" x14ac:dyDescent="0.25">
      <c r="D14" s="4"/>
      <c r="E14" s="4"/>
      <c r="I14" s="4"/>
      <c r="J14" s="4"/>
      <c r="N14" s="4"/>
      <c r="O14" s="4"/>
      <c r="P14" s="4"/>
      <c r="S14" s="4"/>
      <c r="T14" s="4"/>
      <c r="AK14">
        <f ca="1">SUM(AK5:AK13)</f>
        <v>99</v>
      </c>
      <c r="AL14">
        <f ca="1">SUM(AL5:AL13)</f>
        <v>4</v>
      </c>
      <c r="AQ14" t="s">
        <v>460</v>
      </c>
      <c r="AR14">
        <f>(mouvement!F49+mouvement!F33)/2</f>
        <v>20.5</v>
      </c>
    </row>
    <row r="15" spans="3:51" x14ac:dyDescent="0.25">
      <c r="D15" s="4"/>
      <c r="E15" s="4"/>
      <c r="I15" s="4"/>
      <c r="J15" s="4"/>
      <c r="N15" s="4"/>
      <c r="O15" s="4"/>
      <c r="P15" s="4"/>
      <c r="S15" s="4"/>
      <c r="T15" s="4"/>
      <c r="AK15" s="87">
        <f ca="1">+AK14/156</f>
        <v>0.63461538461538458</v>
      </c>
      <c r="AL15" s="87">
        <f ca="1">+AL14/156</f>
        <v>2.564102564102564E-2</v>
      </c>
    </row>
    <row r="16" spans="3:51" x14ac:dyDescent="0.25">
      <c r="D16" s="4"/>
      <c r="E16" s="4"/>
      <c r="I16" s="4"/>
      <c r="J16" s="4"/>
      <c r="N16" s="4"/>
      <c r="O16" s="4"/>
      <c r="P16" s="4"/>
      <c r="S16" s="4"/>
      <c r="T16" s="4"/>
      <c r="AQ16" t="s">
        <v>461</v>
      </c>
      <c r="AR16" s="33">
        <f>+AR14/WFP!B4</f>
        <v>0.15769230769230769</v>
      </c>
    </row>
    <row r="19" spans="43:46" x14ac:dyDescent="0.25">
      <c r="AS19" t="s">
        <v>442</v>
      </c>
      <c r="AT19" t="s">
        <v>359</v>
      </c>
    </row>
    <row r="20" spans="43:46" x14ac:dyDescent="0.25">
      <c r="AQ20" t="s">
        <v>462</v>
      </c>
      <c r="AR20" s="32">
        <f>COUNTIFS(EFFECTIF!E:E,"Cadre")/COUNT(EFFECTIF!K2:K159)</f>
        <v>6.3291139240506333E-2</v>
      </c>
      <c r="AS20" s="32">
        <f>COUNTIFS(EFFECTIF!E:E,"Cadre",EFFECTIF!R:R,1)/609</f>
        <v>1.6420361247947456E-2</v>
      </c>
      <c r="AT20" s="32">
        <f>COUNTIFS(EFFECTIF!E:E,"Cadre",EFFECTIF!R:R,2)/609</f>
        <v>0</v>
      </c>
    </row>
    <row r="23" spans="43:46" x14ac:dyDescent="0.25">
      <c r="AQ23" t="s">
        <v>463</v>
      </c>
      <c r="AR23" s="33">
        <f>6/WFP!B4</f>
        <v>4.6153846153846156E-2</v>
      </c>
    </row>
  </sheetData>
  <mergeCells count="4">
    <mergeCell ref="D2:E2"/>
    <mergeCell ref="I2:J2"/>
    <mergeCell ref="N2:O2"/>
    <mergeCell ref="S2:T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AC44-8619-47E0-95E5-3BF79203F469}">
  <dimension ref="A1:G4"/>
  <sheetViews>
    <sheetView showGridLines="0" workbookViewId="0">
      <selection activeCell="B4" sqref="B4"/>
    </sheetView>
  </sheetViews>
  <sheetFormatPr baseColWidth="10" defaultColWidth="11.42578125" defaultRowHeight="15" x14ac:dyDescent="0.25"/>
  <cols>
    <col min="1" max="1" width="22" bestFit="1" customWidth="1"/>
    <col min="2" max="3" width="12.140625" bestFit="1" customWidth="1"/>
    <col min="4" max="4" width="12.140625" customWidth="1"/>
    <col min="5" max="6" width="13.5703125" customWidth="1"/>
    <col min="7" max="7" width="11" bestFit="1" customWidth="1"/>
  </cols>
  <sheetData>
    <row r="1" spans="1:7" ht="23.25" x14ac:dyDescent="0.25">
      <c r="A1" s="34"/>
      <c r="B1" s="36" t="s">
        <v>464</v>
      </c>
      <c r="C1" s="36" t="s">
        <v>465</v>
      </c>
      <c r="D1" s="35">
        <v>44958</v>
      </c>
      <c r="E1" s="35">
        <v>44986</v>
      </c>
      <c r="F1" s="35">
        <v>45017</v>
      </c>
      <c r="G1" s="37" t="s">
        <v>466</v>
      </c>
    </row>
    <row r="2" spans="1:7" x14ac:dyDescent="0.25">
      <c r="A2" s="38" t="s">
        <v>467</v>
      </c>
      <c r="B2" s="39"/>
      <c r="C2" s="39">
        <v>4</v>
      </c>
      <c r="D2" s="40">
        <v>1</v>
      </c>
      <c r="E2" s="40">
        <v>4</v>
      </c>
      <c r="F2" s="40">
        <v>1</v>
      </c>
      <c r="G2" s="41"/>
    </row>
    <row r="3" spans="1:7" x14ac:dyDescent="0.25">
      <c r="A3" s="38" t="s">
        <v>7</v>
      </c>
      <c r="B3" s="39"/>
      <c r="C3" s="39">
        <v>3</v>
      </c>
      <c r="D3" s="40">
        <v>1</v>
      </c>
      <c r="E3" s="40">
        <v>2</v>
      </c>
      <c r="F3" s="40">
        <v>1</v>
      </c>
      <c r="G3" s="41"/>
    </row>
    <row r="4" spans="1:7" x14ac:dyDescent="0.25">
      <c r="A4" s="38" t="s">
        <v>468</v>
      </c>
      <c r="B4" s="39">
        <v>130</v>
      </c>
      <c r="C4" s="39">
        <f>B4+C2-C3</f>
        <v>131</v>
      </c>
      <c r="D4" s="40">
        <f>C4+D2-D3</f>
        <v>131</v>
      </c>
      <c r="E4" s="40">
        <f>D4+E2-E3</f>
        <v>133</v>
      </c>
      <c r="F4" s="40">
        <f>E4+F2-F3</f>
        <v>133</v>
      </c>
      <c r="G4" s="41">
        <f>F4</f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FAA2-0E5C-43F8-B092-C4522C825823}">
  <sheetPr codeName="Feuil2">
    <tabColor theme="4" tint="0.59999389629810485"/>
  </sheetPr>
  <dimension ref="A1:N71"/>
  <sheetViews>
    <sheetView showGridLines="0" workbookViewId="0">
      <selection activeCell="E28" sqref="E28"/>
    </sheetView>
  </sheetViews>
  <sheetFormatPr baseColWidth="10" defaultColWidth="11.42578125" defaultRowHeight="12.75" x14ac:dyDescent="0.2"/>
  <cols>
    <col min="1" max="2" width="11.42578125" style="6"/>
    <col min="3" max="3" width="17.7109375" style="6" customWidth="1"/>
    <col min="4" max="4" width="11.5703125" style="6" customWidth="1"/>
    <col min="5" max="6" width="11.42578125" style="6"/>
    <col min="7" max="7" width="13.42578125" style="6" bestFit="1" customWidth="1"/>
    <col min="8" max="12" width="11.42578125" style="6"/>
    <col min="13" max="13" width="7.85546875" style="6" customWidth="1"/>
    <col min="14" max="14" width="19.7109375" style="6" customWidth="1"/>
    <col min="15" max="16384" width="11.42578125" style="6"/>
  </cols>
  <sheetData>
    <row r="1" spans="1:14" ht="17.25" customHeight="1" x14ac:dyDescent="0.2"/>
    <row r="2" spans="1:14" ht="17.25" customHeight="1" x14ac:dyDescent="0.2">
      <c r="A2" s="130" t="s">
        <v>469</v>
      </c>
      <c r="B2" s="130"/>
      <c r="C2" s="130"/>
    </row>
    <row r="3" spans="1:14" ht="17.25" customHeight="1" x14ac:dyDescent="0.2">
      <c r="A3" s="29"/>
      <c r="B3" s="29"/>
      <c r="C3" s="29"/>
    </row>
    <row r="4" spans="1:14" ht="17.25" customHeight="1" x14ac:dyDescent="0.2">
      <c r="A4" s="29"/>
      <c r="B4" s="29"/>
      <c r="C4" s="29"/>
    </row>
    <row r="5" spans="1:14" ht="17.25" customHeight="1" x14ac:dyDescent="0.2">
      <c r="A5" s="29"/>
      <c r="B5" s="29"/>
      <c r="C5" s="29"/>
      <c r="E5" s="28" t="b">
        <v>0</v>
      </c>
    </row>
    <row r="6" spans="1:14" ht="17.25" customHeight="1" x14ac:dyDescent="0.2">
      <c r="A6" s="29"/>
      <c r="B6" s="29"/>
      <c r="C6" s="29"/>
    </row>
    <row r="7" spans="1:14" ht="17.25" customHeight="1" x14ac:dyDescent="0.2">
      <c r="A7" s="29"/>
      <c r="B7" s="29"/>
      <c r="C7" s="29"/>
    </row>
    <row r="9" spans="1:14" x14ac:dyDescent="0.2">
      <c r="E9" s="28" t="b">
        <v>1</v>
      </c>
    </row>
    <row r="11" spans="1:14" x14ac:dyDescent="0.2">
      <c r="A11" s="127" t="s">
        <v>470</v>
      </c>
      <c r="B11" s="128"/>
      <c r="C11" s="129"/>
    </row>
    <row r="12" spans="1:14" x14ac:dyDescent="0.2">
      <c r="A12" s="27" t="s">
        <v>471</v>
      </c>
      <c r="B12" s="26" t="s">
        <v>472</v>
      </c>
      <c r="C12" s="25" t="s">
        <v>473</v>
      </c>
    </row>
    <row r="13" spans="1:14" x14ac:dyDescent="0.2">
      <c r="A13" s="24">
        <v>18</v>
      </c>
      <c r="B13" s="23">
        <v>25</v>
      </c>
      <c r="C13" s="22" t="str">
        <f t="shared" ref="C13:C22" si="0">"De " &amp; A13 &amp; " à " &amp; B13 - 1 &amp; " ans"</f>
        <v>De 18 à 24 ans</v>
      </c>
      <c r="M13" s="7"/>
      <c r="N13" s="7"/>
    </row>
    <row r="14" spans="1:14" x14ac:dyDescent="0.2">
      <c r="A14" s="21">
        <v>25</v>
      </c>
      <c r="B14" s="20">
        <v>30</v>
      </c>
      <c r="C14" s="19" t="str">
        <f t="shared" si="0"/>
        <v>De 25 à 29 ans</v>
      </c>
      <c r="M14" s="7"/>
      <c r="N14" s="7"/>
    </row>
    <row r="15" spans="1:14" x14ac:dyDescent="0.2">
      <c r="A15" s="21">
        <v>30</v>
      </c>
      <c r="B15" s="20">
        <v>35</v>
      </c>
      <c r="C15" s="19" t="str">
        <f t="shared" si="0"/>
        <v>De 30 à 34 ans</v>
      </c>
      <c r="M15" s="7"/>
      <c r="N15" s="7"/>
    </row>
    <row r="16" spans="1:14" x14ac:dyDescent="0.2">
      <c r="A16" s="21">
        <v>35</v>
      </c>
      <c r="B16" s="20">
        <v>40</v>
      </c>
      <c r="C16" s="19" t="str">
        <f t="shared" si="0"/>
        <v>De 35 à 39 ans</v>
      </c>
      <c r="M16" s="7"/>
      <c r="N16" s="7"/>
    </row>
    <row r="17" spans="1:14" x14ac:dyDescent="0.2">
      <c r="A17" s="21">
        <v>40</v>
      </c>
      <c r="B17" s="20">
        <v>45</v>
      </c>
      <c r="C17" s="19" t="str">
        <f t="shared" si="0"/>
        <v>De 40 à 44 ans</v>
      </c>
      <c r="M17" s="7"/>
      <c r="N17" s="7"/>
    </row>
    <row r="18" spans="1:14" x14ac:dyDescent="0.2">
      <c r="A18" s="21">
        <v>45</v>
      </c>
      <c r="B18" s="20">
        <v>50</v>
      </c>
      <c r="C18" s="19" t="str">
        <f t="shared" si="0"/>
        <v>De 45 à 49 ans</v>
      </c>
      <c r="M18" s="7"/>
      <c r="N18" s="7"/>
    </row>
    <row r="19" spans="1:14" x14ac:dyDescent="0.2">
      <c r="A19" s="21">
        <v>50</v>
      </c>
      <c r="B19" s="20">
        <v>55</v>
      </c>
      <c r="C19" s="19" t="str">
        <f t="shared" si="0"/>
        <v>De 50 à 54 ans</v>
      </c>
      <c r="M19" s="7"/>
      <c r="N19" s="7"/>
    </row>
    <row r="20" spans="1:14" x14ac:dyDescent="0.2">
      <c r="A20" s="21">
        <v>55</v>
      </c>
      <c r="B20" s="20">
        <v>60</v>
      </c>
      <c r="C20" s="19" t="str">
        <f t="shared" si="0"/>
        <v>De 55 à 59 ans</v>
      </c>
      <c r="M20" s="7"/>
      <c r="N20" s="7"/>
    </row>
    <row r="21" spans="1:14" x14ac:dyDescent="0.2">
      <c r="A21" s="21">
        <v>60</v>
      </c>
      <c r="B21" s="20">
        <v>65</v>
      </c>
      <c r="C21" s="19" t="str">
        <f t="shared" si="0"/>
        <v>De 60 à 64 ans</v>
      </c>
      <c r="M21" s="7"/>
      <c r="N21" s="7"/>
    </row>
    <row r="22" spans="1:14" x14ac:dyDescent="0.2">
      <c r="A22" s="18">
        <v>65</v>
      </c>
      <c r="B22" s="17">
        <v>100</v>
      </c>
      <c r="C22" s="16" t="str">
        <f t="shared" si="0"/>
        <v>De 65 à 99 ans</v>
      </c>
    </row>
    <row r="25" spans="1:14" x14ac:dyDescent="0.2">
      <c r="E25" s="28" t="b">
        <v>1</v>
      </c>
    </row>
    <row r="27" spans="1:14" x14ac:dyDescent="0.2">
      <c r="A27" s="127" t="s">
        <v>474</v>
      </c>
      <c r="B27" s="128"/>
      <c r="C27" s="129"/>
    </row>
    <row r="28" spans="1:14" x14ac:dyDescent="0.2">
      <c r="A28" s="27" t="s">
        <v>471</v>
      </c>
      <c r="B28" s="26" t="s">
        <v>472</v>
      </c>
      <c r="C28" s="25" t="s">
        <v>473</v>
      </c>
    </row>
    <row r="29" spans="1:14" x14ac:dyDescent="0.2">
      <c r="A29" s="24">
        <v>0</v>
      </c>
      <c r="B29" s="23">
        <v>3</v>
      </c>
      <c r="C29" s="22" t="s">
        <v>444</v>
      </c>
    </row>
    <row r="30" spans="1:14" x14ac:dyDescent="0.2">
      <c r="A30" s="21">
        <v>3</v>
      </c>
      <c r="B30" s="20">
        <v>7</v>
      </c>
      <c r="C30" s="19" t="str">
        <f t="shared" ref="C30:C38" si="1">"De " &amp; A30 &amp; " à " &amp; B30 - 1 &amp; " ans"</f>
        <v>De 3 à 6 ans</v>
      </c>
    </row>
    <row r="31" spans="1:14" x14ac:dyDescent="0.2">
      <c r="A31" s="21">
        <v>7</v>
      </c>
      <c r="B31" s="20">
        <v>11</v>
      </c>
      <c r="C31" s="19" t="str">
        <f t="shared" si="1"/>
        <v>De 7 à 10 ans</v>
      </c>
    </row>
    <row r="32" spans="1:14" x14ac:dyDescent="0.2">
      <c r="A32" s="21">
        <v>11</v>
      </c>
      <c r="B32" s="20">
        <v>15</v>
      </c>
      <c r="C32" s="19" t="str">
        <f t="shared" si="1"/>
        <v>De 11 à 14 ans</v>
      </c>
    </row>
    <row r="33" spans="1:4" x14ac:dyDescent="0.2">
      <c r="A33" s="21">
        <v>15</v>
      </c>
      <c r="B33" s="20">
        <v>20</v>
      </c>
      <c r="C33" s="19" t="str">
        <f t="shared" si="1"/>
        <v>De 15 à 19 ans</v>
      </c>
    </row>
    <row r="34" spans="1:4" x14ac:dyDescent="0.2">
      <c r="A34" s="21">
        <v>20</v>
      </c>
      <c r="B34" s="20">
        <v>25</v>
      </c>
      <c r="C34" s="19" t="str">
        <f t="shared" si="1"/>
        <v>De 20 à 24 ans</v>
      </c>
    </row>
    <row r="35" spans="1:4" x14ac:dyDescent="0.2">
      <c r="A35" s="21">
        <v>25</v>
      </c>
      <c r="B35" s="20">
        <v>30</v>
      </c>
      <c r="C35" s="19" t="str">
        <f t="shared" si="1"/>
        <v>De 25 à 29 ans</v>
      </c>
    </row>
    <row r="36" spans="1:4" x14ac:dyDescent="0.2">
      <c r="A36" s="21">
        <v>30</v>
      </c>
      <c r="B36" s="20">
        <v>35</v>
      </c>
      <c r="C36" s="19" t="str">
        <f t="shared" si="1"/>
        <v>De 30 à 34 ans</v>
      </c>
    </row>
    <row r="37" spans="1:4" x14ac:dyDescent="0.2">
      <c r="A37" s="21">
        <v>35</v>
      </c>
      <c r="B37" s="20">
        <v>40</v>
      </c>
      <c r="C37" s="19" t="str">
        <f t="shared" si="1"/>
        <v>De 35 à 39 ans</v>
      </c>
    </row>
    <row r="38" spans="1:4" x14ac:dyDescent="0.2">
      <c r="A38" s="18">
        <v>40</v>
      </c>
      <c r="B38" s="17">
        <v>50</v>
      </c>
      <c r="C38" s="16" t="str">
        <f t="shared" si="1"/>
        <v>De 40 à 49 ans</v>
      </c>
    </row>
    <row r="40" spans="1:4" x14ac:dyDescent="0.2">
      <c r="A40" s="127" t="s">
        <v>475</v>
      </c>
      <c r="B40" s="128"/>
      <c r="C40" s="129"/>
    </row>
    <row r="41" spans="1:4" x14ac:dyDescent="0.2">
      <c r="A41" s="15" t="s">
        <v>476</v>
      </c>
      <c r="B41" s="14"/>
      <c r="C41" s="124" t="s">
        <v>477</v>
      </c>
      <c r="D41" s="12"/>
    </row>
    <row r="42" spans="1:4" x14ac:dyDescent="0.2">
      <c r="A42" s="13" t="str">
        <f>[1]Données!AB1</f>
        <v>Autre critère 1</v>
      </c>
      <c r="B42" s="10"/>
      <c r="C42" s="125"/>
      <c r="D42" s="12"/>
    </row>
    <row r="43" spans="1:4" x14ac:dyDescent="0.2">
      <c r="A43" s="13" t="str">
        <f>[1]Données!AC1</f>
        <v>Autre critère 2</v>
      </c>
      <c r="B43" s="10"/>
      <c r="C43" s="125"/>
      <c r="D43" s="12"/>
    </row>
    <row r="44" spans="1:4" x14ac:dyDescent="0.2">
      <c r="A44" s="13" t="str">
        <f>[1]Données!AD1</f>
        <v>Autre critère 3</v>
      </c>
      <c r="B44" s="10"/>
      <c r="C44" s="125"/>
      <c r="D44" s="12"/>
    </row>
    <row r="45" spans="1:4" x14ac:dyDescent="0.2">
      <c r="A45" s="11" t="s">
        <v>478</v>
      </c>
      <c r="B45" s="10"/>
      <c r="C45" s="125"/>
      <c r="D45" s="12"/>
    </row>
    <row r="46" spans="1:4" x14ac:dyDescent="0.2">
      <c r="A46" s="11" t="s">
        <v>479</v>
      </c>
      <c r="B46" s="10"/>
      <c r="C46" s="125"/>
      <c r="D46" s="12"/>
    </row>
    <row r="47" spans="1:4" x14ac:dyDescent="0.2">
      <c r="A47" s="11" t="s">
        <v>480</v>
      </c>
      <c r="B47" s="10"/>
      <c r="C47" s="125"/>
      <c r="D47" s="12"/>
    </row>
    <row r="48" spans="1:4" x14ac:dyDescent="0.2">
      <c r="A48" s="11" t="s">
        <v>481</v>
      </c>
      <c r="B48" s="10"/>
      <c r="C48" s="125"/>
      <c r="D48" s="12"/>
    </row>
    <row r="49" spans="1:4" x14ac:dyDescent="0.2">
      <c r="A49" s="11" t="s">
        <v>482</v>
      </c>
      <c r="B49" s="10"/>
      <c r="C49" s="125"/>
      <c r="D49" s="12"/>
    </row>
    <row r="50" spans="1:4" x14ac:dyDescent="0.2">
      <c r="A50" s="11" t="s">
        <v>483</v>
      </c>
      <c r="B50" s="10"/>
      <c r="C50" s="125"/>
    </row>
    <row r="51" spans="1:4" x14ac:dyDescent="0.2">
      <c r="A51" s="11" t="s">
        <v>484</v>
      </c>
      <c r="B51" s="10"/>
      <c r="C51" s="125"/>
    </row>
    <row r="52" spans="1:4" x14ac:dyDescent="0.2">
      <c r="A52" s="11" t="s">
        <v>485</v>
      </c>
      <c r="B52" s="10"/>
      <c r="C52" s="125"/>
    </row>
    <row r="53" spans="1:4" x14ac:dyDescent="0.2">
      <c r="A53" s="11" t="s">
        <v>486</v>
      </c>
      <c r="B53" s="10"/>
      <c r="C53" s="125"/>
    </row>
    <row r="54" spans="1:4" x14ac:dyDescent="0.2">
      <c r="A54" s="11" t="s">
        <v>470</v>
      </c>
      <c r="B54" s="10"/>
      <c r="C54" s="125"/>
    </row>
    <row r="55" spans="1:4" x14ac:dyDescent="0.2">
      <c r="A55" s="11" t="s">
        <v>474</v>
      </c>
      <c r="B55" s="10"/>
      <c r="C55" s="125"/>
    </row>
    <row r="56" spans="1:4" x14ac:dyDescent="0.2">
      <c r="A56" s="11" t="s">
        <v>487</v>
      </c>
      <c r="B56" s="10"/>
      <c r="C56" s="125"/>
    </row>
    <row r="57" spans="1:4" x14ac:dyDescent="0.2">
      <c r="A57" s="11" t="s">
        <v>488</v>
      </c>
      <c r="B57" s="10"/>
      <c r="C57" s="125"/>
    </row>
    <row r="58" spans="1:4" x14ac:dyDescent="0.2">
      <c r="A58" s="9"/>
      <c r="B58" s="8"/>
      <c r="C58" s="126"/>
    </row>
    <row r="71" spans="1:1" x14ac:dyDescent="0.2">
      <c r="A71" s="7"/>
    </row>
  </sheetData>
  <mergeCells count="5">
    <mergeCell ref="C41:C58"/>
    <mergeCell ref="A11:C11"/>
    <mergeCell ref="A27:C27"/>
    <mergeCell ref="A2:C2"/>
    <mergeCell ref="A40:C40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0</xdr:col>
                    <xdr:colOff>47625</xdr:colOff>
                    <xdr:row>7</xdr:row>
                    <xdr:rowOff>133350</xdr:rowOff>
                  </from>
                  <to>
                    <xdr:col>2</xdr:col>
                    <xdr:colOff>1171575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0</xdr:col>
                    <xdr:colOff>66675</xdr:colOff>
                    <xdr:row>23</xdr:row>
                    <xdr:rowOff>142875</xdr:rowOff>
                  </from>
                  <to>
                    <xdr:col>3</xdr:col>
                    <xdr:colOff>714375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0</xdr:col>
                    <xdr:colOff>57150</xdr:colOff>
                    <xdr:row>4</xdr:row>
                    <xdr:rowOff>57150</xdr:rowOff>
                  </from>
                  <to>
                    <xdr:col>3</xdr:col>
                    <xdr:colOff>47625</xdr:colOff>
                    <xdr:row>5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D797-C45D-47CF-98FC-DB5678E4D875}">
  <dimension ref="B2:H49"/>
  <sheetViews>
    <sheetView showGridLines="0" zoomScale="90" zoomScaleNormal="90" workbookViewId="0">
      <selection activeCell="H53" sqref="H53"/>
    </sheetView>
  </sheetViews>
  <sheetFormatPr baseColWidth="10" defaultColWidth="11.42578125" defaultRowHeight="15" x14ac:dyDescent="0.25"/>
  <cols>
    <col min="2" max="2" width="12.42578125" bestFit="1" customWidth="1"/>
    <col min="4" max="4" width="15.7109375" bestFit="1" customWidth="1"/>
    <col min="5" max="5" width="6.5703125" bestFit="1" customWidth="1"/>
    <col min="7" max="7" width="18.5703125" bestFit="1" customWidth="1"/>
    <col min="8" max="8" width="14.85546875" bestFit="1" customWidth="1"/>
  </cols>
  <sheetData>
    <row r="2" spans="2:8" ht="15.75" thickBot="1" x14ac:dyDescent="0.3"/>
    <row r="3" spans="2:8" ht="16.5" thickTop="1" x14ac:dyDescent="0.25">
      <c r="B3" s="57" t="s">
        <v>324</v>
      </c>
      <c r="C3" s="57" t="s">
        <v>325</v>
      </c>
      <c r="D3" s="57" t="s">
        <v>489</v>
      </c>
      <c r="E3" s="57" t="s">
        <v>490</v>
      </c>
      <c r="F3" s="57" t="s">
        <v>18</v>
      </c>
      <c r="G3" s="57" t="s">
        <v>491</v>
      </c>
      <c r="H3" s="57" t="s">
        <v>20</v>
      </c>
    </row>
    <row r="4" spans="2:8" x14ac:dyDescent="0.25">
      <c r="B4" s="52">
        <v>1769</v>
      </c>
      <c r="C4" s="53" t="str">
        <f>VLOOKUP(B4,EFFECTIF!A:X,2,FALSE)</f>
        <v>HAJJOUBI</v>
      </c>
      <c r="D4" s="53" t="str">
        <f>VLOOKUP(B4,EFFECTIF!A:X,3,FALSE)</f>
        <v>ABDELJALIL</v>
      </c>
      <c r="E4" s="54" t="s">
        <v>40</v>
      </c>
      <c r="F4" s="55" t="str">
        <f>VLOOKUP(B4,EFFECTIF!A:X,5,FALSE)</f>
        <v>Maitrise</v>
      </c>
      <c r="G4" s="56">
        <f>VLOOKUP(B4,EFFECTIF!A:X,6,FALSE)</f>
        <v>45873</v>
      </c>
      <c r="H4" s="56" t="s">
        <v>492</v>
      </c>
    </row>
    <row r="5" spans="2:8" x14ac:dyDescent="0.25">
      <c r="B5" s="52">
        <v>1753</v>
      </c>
      <c r="C5" s="53" t="str">
        <f>VLOOKUP(B5,EFFECTIF!A:X,2,FALSE)</f>
        <v>LAMSADDER</v>
      </c>
      <c r="D5" s="53" t="str">
        <f>VLOOKUP(B5,EFFECTIF!A:X,3,FALSE)</f>
        <v>ABDERRAZEK</v>
      </c>
      <c r="E5" s="54" t="s">
        <v>40</v>
      </c>
      <c r="F5" s="55" t="str">
        <f>VLOOKUP(B5,EFFECTIF!A:X,5,FALSE)</f>
        <v>Employé</v>
      </c>
      <c r="G5" s="56">
        <f>VLOOKUP(B5,EFFECTIF!A:X,6,FALSE)</f>
        <v>45845</v>
      </c>
      <c r="H5" s="56" t="s">
        <v>47</v>
      </c>
    </row>
    <row r="6" spans="2:8" x14ac:dyDescent="0.25">
      <c r="B6" s="58">
        <v>1760</v>
      </c>
      <c r="C6" s="53" t="str">
        <f>VLOOKUP(B6,EFFECTIF!A:X,2,FALSE)</f>
        <v>BOULGHOUDAN</v>
      </c>
      <c r="D6" s="53" t="str">
        <f>VLOOKUP(B6,EFFECTIF!A:X,3,FALSE)</f>
        <v>M'HAMED</v>
      </c>
      <c r="E6" s="59" t="s">
        <v>40</v>
      </c>
      <c r="F6" s="55" t="str">
        <f>VLOOKUP(B6,EFFECTIF!A:X,5,FALSE)</f>
        <v>Employé</v>
      </c>
      <c r="G6" s="56">
        <f>VLOOKUP(B6,EFFECTIF!A:X,6,FALSE)</f>
        <v>45845</v>
      </c>
      <c r="H6" s="56" t="s">
        <v>492</v>
      </c>
    </row>
    <row r="7" spans="2:8" x14ac:dyDescent="0.25">
      <c r="B7" s="52">
        <v>1752</v>
      </c>
      <c r="C7" s="53" t="str">
        <f>VLOOKUP(B7,EFFECTIF!A:X,2,FALSE)</f>
        <v>AIT HAQQI</v>
      </c>
      <c r="D7" s="53" t="str">
        <f>VLOOKUP(B7,EFFECTIF!A:X,3,FALSE)</f>
        <v>JAWAD</v>
      </c>
      <c r="E7" s="54" t="s">
        <v>40</v>
      </c>
      <c r="F7" s="55" t="str">
        <f>VLOOKUP(B7,EFFECTIF!A:X,5,FALSE)</f>
        <v>Employé</v>
      </c>
      <c r="G7" s="56">
        <f>VLOOKUP(B7,EFFECTIF!A:X,6,FALSE)</f>
        <v>45839</v>
      </c>
      <c r="H7" s="56" t="s">
        <v>47</v>
      </c>
    </row>
    <row r="8" spans="2:8" x14ac:dyDescent="0.25">
      <c r="B8" s="52">
        <v>1754</v>
      </c>
      <c r="C8" s="53" t="str">
        <f>VLOOKUP(B8,EFFECTIF!A:X,2,FALSE)</f>
        <v>BENZAYYAN</v>
      </c>
      <c r="D8" s="53" t="str">
        <f>VLOOKUP(B8,EFFECTIF!A:X,3,FALSE)</f>
        <v>ISSAM</v>
      </c>
      <c r="E8" s="54" t="s">
        <v>40</v>
      </c>
      <c r="F8" s="55" t="str">
        <f>VLOOKUP(B8,EFFECTIF!A:X,5,FALSE)</f>
        <v>Employé</v>
      </c>
      <c r="G8" s="56">
        <f>VLOOKUP(B8,EFFECTIF!A:X,6,FALSE)</f>
        <v>45839</v>
      </c>
      <c r="H8" s="56" t="s">
        <v>492</v>
      </c>
    </row>
    <row r="9" spans="2:8" x14ac:dyDescent="0.25">
      <c r="B9" s="58">
        <v>1755</v>
      </c>
      <c r="C9" s="53" t="str">
        <f>VLOOKUP(B9,EFFECTIF!A:X,2,FALSE)</f>
        <v>KHALIFI</v>
      </c>
      <c r="D9" s="53" t="str">
        <f>VLOOKUP(B9,EFFECTIF!A:X,3,FALSE)</f>
        <v>HAMZA</v>
      </c>
      <c r="E9" s="59" t="s">
        <v>40</v>
      </c>
      <c r="F9" s="55" t="str">
        <f>VLOOKUP(B9,EFFECTIF!A:X,5,FALSE)</f>
        <v>Employé</v>
      </c>
      <c r="G9" s="56">
        <f>VLOOKUP(B9,EFFECTIF!A:X,6,FALSE)</f>
        <v>45839</v>
      </c>
      <c r="H9" s="56" t="s">
        <v>492</v>
      </c>
    </row>
    <row r="10" spans="2:8" x14ac:dyDescent="0.25">
      <c r="B10" s="52">
        <v>1756</v>
      </c>
      <c r="C10" s="53" t="str">
        <f>VLOOKUP(B10,EFFECTIF!A:X,2,FALSE)</f>
        <v>AMMARI</v>
      </c>
      <c r="D10" s="53" t="str">
        <f>VLOOKUP(B10,EFFECTIF!A:X,3,FALSE)</f>
        <v>OUSSAMA</v>
      </c>
      <c r="E10" s="54" t="s">
        <v>40</v>
      </c>
      <c r="F10" s="55" t="str">
        <f>VLOOKUP(B10,EFFECTIF!A:X,5,FALSE)</f>
        <v>Employé</v>
      </c>
      <c r="G10" s="56">
        <f>VLOOKUP(B10,EFFECTIF!A:X,6,FALSE)</f>
        <v>45839</v>
      </c>
      <c r="H10" s="56" t="s">
        <v>47</v>
      </c>
    </row>
    <row r="11" spans="2:8" x14ac:dyDescent="0.25">
      <c r="B11" s="52">
        <v>1757</v>
      </c>
      <c r="C11" s="53" t="str">
        <f>VLOOKUP(B11,EFFECTIF!A:X,2,FALSE)</f>
        <v>ZIDAN</v>
      </c>
      <c r="D11" s="53" t="str">
        <f>VLOOKUP(B11,EFFECTIF!A:X,3,FALSE)</f>
        <v>TAOUFIK</v>
      </c>
      <c r="E11" s="54" t="s">
        <v>40</v>
      </c>
      <c r="F11" s="55" t="str">
        <f>VLOOKUP(B11,EFFECTIF!A:X,5,FALSE)</f>
        <v>Employé</v>
      </c>
      <c r="G11" s="56">
        <f>VLOOKUP(B11,EFFECTIF!A:X,6,FALSE)</f>
        <v>45839</v>
      </c>
      <c r="H11" s="56" t="s">
        <v>492</v>
      </c>
    </row>
    <row r="12" spans="2:8" x14ac:dyDescent="0.25">
      <c r="B12" s="58">
        <v>1758</v>
      </c>
      <c r="C12" s="53" t="str">
        <f>VLOOKUP(B12,EFFECTIF!A:X,2,FALSE)</f>
        <v>CHOUDNA</v>
      </c>
      <c r="D12" s="53" t="str">
        <f>VLOOKUP(B12,EFFECTIF!A:X,3,FALSE)</f>
        <v>YOUSSEF</v>
      </c>
      <c r="E12" s="59" t="s">
        <v>40</v>
      </c>
      <c r="F12" s="55" t="str">
        <f>VLOOKUP(B12,EFFECTIF!A:X,5,FALSE)</f>
        <v>Employé</v>
      </c>
      <c r="G12" s="56">
        <f>VLOOKUP(B12,EFFECTIF!A:X,6,FALSE)</f>
        <v>45839</v>
      </c>
      <c r="H12" s="56" t="s">
        <v>492</v>
      </c>
    </row>
    <row r="13" spans="2:8" x14ac:dyDescent="0.25">
      <c r="B13" s="52">
        <v>1759</v>
      </c>
      <c r="C13" s="53" t="str">
        <f>VLOOKUP(B13,EFFECTIF!A:X,2,FALSE)</f>
        <v>KERMAOUI</v>
      </c>
      <c r="D13" s="53" t="str">
        <f>VLOOKUP(B13,EFFECTIF!A:X,3,FALSE)</f>
        <v>HOUSSAM</v>
      </c>
      <c r="E13" s="54" t="s">
        <v>40</v>
      </c>
      <c r="F13" s="55" t="str">
        <f>VLOOKUP(B13,EFFECTIF!A:X,5,FALSE)</f>
        <v>Employé</v>
      </c>
      <c r="G13" s="56">
        <f>VLOOKUP(B13,EFFECTIF!A:X,6,FALSE)</f>
        <v>45839</v>
      </c>
      <c r="H13" s="56" t="s">
        <v>492</v>
      </c>
    </row>
    <row r="14" spans="2:8" x14ac:dyDescent="0.25">
      <c r="B14" s="52">
        <v>1738</v>
      </c>
      <c r="C14" s="53" t="str">
        <f>VLOOKUP(B14,EFFECTIF!A:X,2,FALSE)</f>
        <v>MARCHOUHI</v>
      </c>
      <c r="D14" s="53" t="str">
        <f>VLOOKUP(B14,EFFECTIF!A:X,3,FALSE)</f>
        <v>YOUSSEF</v>
      </c>
      <c r="E14" s="54" t="s">
        <v>40</v>
      </c>
      <c r="F14" s="55" t="str">
        <f>VLOOKUP(B14,EFFECTIF!A:X,5,FALSE)</f>
        <v>Employé</v>
      </c>
      <c r="G14" s="56">
        <f>VLOOKUP(B14,EFFECTIF!A:X,6,FALSE)</f>
        <v>45810</v>
      </c>
      <c r="H14" s="56" t="s">
        <v>492</v>
      </c>
    </row>
    <row r="15" spans="2:8" x14ac:dyDescent="0.25">
      <c r="B15" s="52">
        <v>1739</v>
      </c>
      <c r="C15" s="53" t="str">
        <f>VLOOKUP(B15,EFFECTIF!A:X,2,FALSE)</f>
        <v>BOUCHKHACHAKH</v>
      </c>
      <c r="D15" s="53" t="str">
        <f>VLOOKUP(B15,EFFECTIF!A:X,3,FALSE)</f>
        <v>Younes</v>
      </c>
      <c r="E15" s="54" t="s">
        <v>40</v>
      </c>
      <c r="F15" s="55" t="str">
        <f>VLOOKUP(B15,EFFECTIF!A:X,5,FALSE)</f>
        <v>Employé</v>
      </c>
      <c r="G15" s="56">
        <f>VLOOKUP(B15,EFFECTIF!A:X,6,FALSE)</f>
        <v>45803</v>
      </c>
      <c r="H15" s="56" t="s">
        <v>492</v>
      </c>
    </row>
    <row r="16" spans="2:8" x14ac:dyDescent="0.25">
      <c r="B16" s="52">
        <v>1720</v>
      </c>
      <c r="C16" s="53" t="str">
        <f>VLOOKUP(B16,EFFECTIF!A:X,2,FALSE)</f>
        <v>ETTADLAOUY</v>
      </c>
      <c r="D16" s="53" t="str">
        <f>VLOOKUP(B16,EFFECTIF!A:X,3,FALSE)</f>
        <v>EL MEHDI</v>
      </c>
      <c r="E16" s="54" t="s">
        <v>40</v>
      </c>
      <c r="F16" s="55" t="str">
        <f>VLOOKUP(B16,EFFECTIF!A:X,5,FALSE)</f>
        <v>Maitrise</v>
      </c>
      <c r="G16" s="56">
        <f>VLOOKUP(B16,EFFECTIF!A:X,6,FALSE)</f>
        <v>45784</v>
      </c>
      <c r="H16" s="56" t="s">
        <v>492</v>
      </c>
    </row>
    <row r="17" spans="2:8" x14ac:dyDescent="0.25">
      <c r="B17" s="58">
        <v>1713</v>
      </c>
      <c r="C17" s="53" t="str">
        <f>VLOOKUP(B17,EFFECTIF!A:X,2,FALSE)</f>
        <v>OUAHHAB</v>
      </c>
      <c r="D17" s="53" t="str">
        <f>VLOOKUP(B17,EFFECTIF!A:X,3,FALSE)</f>
        <v>RACHID</v>
      </c>
      <c r="E17" s="59" t="s">
        <v>40</v>
      </c>
      <c r="F17" s="55" t="str">
        <f>VLOOKUP(B17,EFFECTIF!A:X,5,FALSE)</f>
        <v>Employé</v>
      </c>
      <c r="G17" s="56">
        <f>VLOOKUP(B17,EFFECTIF!A:X,6,FALSE)</f>
        <v>45782</v>
      </c>
      <c r="H17" s="56" t="s">
        <v>492</v>
      </c>
    </row>
    <row r="18" spans="2:8" x14ac:dyDescent="0.25">
      <c r="B18" s="52">
        <v>1715</v>
      </c>
      <c r="C18" s="53" t="str">
        <f>VLOOKUP(B18,EFFECTIF!A:X,2,FALSE)</f>
        <v>ZOUINE</v>
      </c>
      <c r="D18" s="53" t="str">
        <f>VLOOKUP(B18,EFFECTIF!A:X,3,FALSE)</f>
        <v>LARBI</v>
      </c>
      <c r="E18" s="54" t="s">
        <v>40</v>
      </c>
      <c r="F18" s="55" t="str">
        <f>VLOOKUP(B18,EFFECTIF!A:X,5,FALSE)</f>
        <v>Maitrise</v>
      </c>
      <c r="G18" s="56">
        <f>VLOOKUP(B18,EFFECTIF!A:X,6,FALSE)</f>
        <v>45782</v>
      </c>
      <c r="H18" s="56" t="s">
        <v>492</v>
      </c>
    </row>
    <row r="19" spans="2:8" x14ac:dyDescent="0.25">
      <c r="B19" s="52">
        <v>1716</v>
      </c>
      <c r="C19" s="53" t="str">
        <f>VLOOKUP(B19,EFFECTIF!A:X,2,FALSE)</f>
        <v>HABSAOUI</v>
      </c>
      <c r="D19" s="53" t="str">
        <f>VLOOKUP(B19,EFFECTIF!A:X,3,FALSE)</f>
        <v>MOHAMED AMINE</v>
      </c>
      <c r="E19" s="54" t="s">
        <v>40</v>
      </c>
      <c r="F19" s="55" t="str">
        <f>VLOOKUP(B19,EFFECTIF!A:X,5,FALSE)</f>
        <v>Employé</v>
      </c>
      <c r="G19" s="56">
        <f>VLOOKUP(B19,EFFECTIF!A:X,6,FALSE)</f>
        <v>45782</v>
      </c>
      <c r="H19" s="56" t="s">
        <v>492</v>
      </c>
    </row>
    <row r="20" spans="2:8" x14ac:dyDescent="0.25">
      <c r="B20" s="58">
        <v>1718</v>
      </c>
      <c r="C20" s="53" t="str">
        <f>VLOOKUP(B20,EFFECTIF!A:X,2,FALSE)</f>
        <v>LAKHDAR</v>
      </c>
      <c r="D20" s="53" t="str">
        <f>VLOOKUP(B20,EFFECTIF!A:X,3,FALSE)</f>
        <v>JAOUAD</v>
      </c>
      <c r="E20" s="59" t="s">
        <v>40</v>
      </c>
      <c r="F20" s="55" t="str">
        <f>VLOOKUP(B20,EFFECTIF!A:X,5,FALSE)</f>
        <v>Maitrise</v>
      </c>
      <c r="G20" s="56">
        <f>VLOOKUP(B20,EFFECTIF!A:X,6,FALSE)</f>
        <v>45782</v>
      </c>
      <c r="H20" s="56" t="s">
        <v>492</v>
      </c>
    </row>
    <row r="21" spans="2:8" x14ac:dyDescent="0.25">
      <c r="B21" s="52">
        <v>1719</v>
      </c>
      <c r="C21" s="53" t="str">
        <f>VLOOKUP(B21,EFFECTIF!A:X,2,FALSE)</f>
        <v>SABRI</v>
      </c>
      <c r="D21" s="53" t="str">
        <f>VLOOKUP(B21,EFFECTIF!A:X,3,FALSE)</f>
        <v>AMINE</v>
      </c>
      <c r="E21" s="54" t="s">
        <v>40</v>
      </c>
      <c r="F21" s="55" t="str">
        <f>VLOOKUP(B21,EFFECTIF!A:X,5,FALSE)</f>
        <v>Employé</v>
      </c>
      <c r="G21" s="56">
        <f>VLOOKUP(B21,EFFECTIF!A:X,6,FALSE)</f>
        <v>45782</v>
      </c>
      <c r="H21" s="56" t="s">
        <v>492</v>
      </c>
    </row>
    <row r="22" spans="2:8" x14ac:dyDescent="0.25">
      <c r="B22" s="52">
        <v>1714</v>
      </c>
      <c r="C22" s="53" t="str">
        <f>VLOOKUP(B22,EFFECTIF!A:X,2,FALSE)</f>
        <v>BOUCHAFRA</v>
      </c>
      <c r="D22" s="53" t="str">
        <f>VLOOKUP(B22,EFFECTIF!A:X,3,FALSE)</f>
        <v>IBRAHIM</v>
      </c>
      <c r="E22" s="54" t="s">
        <v>40</v>
      </c>
      <c r="F22" s="55" t="str">
        <f>VLOOKUP(B22,EFFECTIF!A:X,5,FALSE)</f>
        <v>Employé</v>
      </c>
      <c r="G22" s="56">
        <f>VLOOKUP(B22,EFFECTIF!A:X,6,FALSE)</f>
        <v>45779</v>
      </c>
      <c r="H22" s="56" t="s">
        <v>47</v>
      </c>
    </row>
    <row r="23" spans="2:8" x14ac:dyDescent="0.25">
      <c r="B23" s="58">
        <v>1717</v>
      </c>
      <c r="C23" s="53" t="str">
        <f>VLOOKUP(B23,EFFECTIF!A:X,2,FALSE)</f>
        <v>KARROUM</v>
      </c>
      <c r="D23" s="53" t="str">
        <f>VLOOKUP(B23,EFFECTIF!A:X,3,FALSE)</f>
        <v>YOUSSEF</v>
      </c>
      <c r="E23" s="59" t="s">
        <v>40</v>
      </c>
      <c r="F23" s="55" t="str">
        <f>VLOOKUP(B23,EFFECTIF!A:X,5,FALSE)</f>
        <v>Employé</v>
      </c>
      <c r="G23" s="56">
        <f>VLOOKUP(B23,EFFECTIF!A:X,6,FALSE)</f>
        <v>45779</v>
      </c>
      <c r="H23" s="56" t="s">
        <v>47</v>
      </c>
    </row>
    <row r="24" spans="2:8" x14ac:dyDescent="0.25">
      <c r="B24" s="52">
        <v>1698</v>
      </c>
      <c r="C24" s="53" t="str">
        <f>VLOOKUP(B24,EFFECTIF!A:X,2,FALSE)</f>
        <v>KOUBIY</v>
      </c>
      <c r="D24" s="53" t="str">
        <f>VLOOKUP(B24,EFFECTIF!A:X,3,FALSE)</f>
        <v>SAMYA</v>
      </c>
      <c r="E24" s="54" t="s">
        <v>40</v>
      </c>
      <c r="F24" s="55" t="str">
        <f>VLOOKUP(B24,EFFECTIF!A:X,5,FALSE)</f>
        <v>Maitrise</v>
      </c>
      <c r="G24" s="56">
        <f>VLOOKUP(B24,EFFECTIF!A:X,6,FALSE)</f>
        <v>45761</v>
      </c>
      <c r="H24" s="56" t="s">
        <v>492</v>
      </c>
    </row>
    <row r="25" spans="2:8" x14ac:dyDescent="0.25">
      <c r="B25" s="52">
        <v>1695</v>
      </c>
      <c r="C25" s="53" t="str">
        <f>VLOOKUP(B25,EFFECTIF!A:X,2,FALSE)</f>
        <v>DOUIRI</v>
      </c>
      <c r="D25" s="53" t="str">
        <f>VLOOKUP(B25,EFFECTIF!A:X,3,FALSE)</f>
        <v>MOHAMED</v>
      </c>
      <c r="E25" s="54" t="s">
        <v>40</v>
      </c>
      <c r="F25" s="55" t="str">
        <f>VLOOKUP(B25,EFFECTIF!A:X,5,FALSE)</f>
        <v>Employé</v>
      </c>
      <c r="G25" s="56">
        <f>VLOOKUP(B25,EFFECTIF!A:X,6,FALSE)</f>
        <v>45748</v>
      </c>
      <c r="H25" s="56" t="s">
        <v>492</v>
      </c>
    </row>
    <row r="26" spans="2:8" x14ac:dyDescent="0.25">
      <c r="B26" s="52">
        <v>1696</v>
      </c>
      <c r="C26" s="53" t="str">
        <f>VLOOKUP(B26,EFFECTIF!A:X,2,FALSE)</f>
        <v>MAHI</v>
      </c>
      <c r="D26" s="53" t="str">
        <f>VLOOKUP(B26,EFFECTIF!A:X,3,FALSE)</f>
        <v>CHAFIK</v>
      </c>
      <c r="E26" s="54" t="s">
        <v>40</v>
      </c>
      <c r="F26" s="55" t="str">
        <f>VLOOKUP(B26,EFFECTIF!A:X,5,FALSE)</f>
        <v>Employé</v>
      </c>
      <c r="G26" s="56">
        <f>VLOOKUP(B26,EFFECTIF!A:X,6,FALSE)</f>
        <v>45748</v>
      </c>
      <c r="H26" s="56" t="s">
        <v>492</v>
      </c>
    </row>
    <row r="27" spans="2:8" x14ac:dyDescent="0.25">
      <c r="B27" s="52">
        <v>1697</v>
      </c>
      <c r="C27" s="53" t="str">
        <f>VLOOKUP(B27,EFFECTIF!A:X,2,FALSE)</f>
        <v>TOUIL</v>
      </c>
      <c r="D27" s="53" t="str">
        <f>VLOOKUP(B27,EFFECTIF!A:X,3,FALSE)</f>
        <v>YOUNESS</v>
      </c>
      <c r="E27" s="54" t="s">
        <v>40</v>
      </c>
      <c r="F27" s="55" t="str">
        <f>VLOOKUP(B27,EFFECTIF!A:X,5,FALSE)</f>
        <v>Employé</v>
      </c>
      <c r="G27" s="56">
        <f>VLOOKUP(B27,EFFECTIF!A:X,6,FALSE)</f>
        <v>45748</v>
      </c>
      <c r="H27" s="56" t="s">
        <v>492</v>
      </c>
    </row>
    <row r="28" spans="2:8" x14ac:dyDescent="0.25">
      <c r="B28" s="58">
        <v>1683</v>
      </c>
      <c r="C28" s="53" t="str">
        <f>VLOOKUP(B28,EFFECTIF!A:X,2,FALSE)</f>
        <v>TAHIRI</v>
      </c>
      <c r="D28" s="53" t="str">
        <f>VLOOKUP(B28,EFFECTIF!A:X,3,FALSE)</f>
        <v>HICHAM</v>
      </c>
      <c r="E28" s="59" t="s">
        <v>40</v>
      </c>
      <c r="F28" s="55" t="str">
        <f>VLOOKUP(B28,EFFECTIF!A:X,5,FALSE)</f>
        <v>Maitrise</v>
      </c>
      <c r="G28" s="56">
        <f>VLOOKUP(B28,EFFECTIF!A:X,6,FALSE)</f>
        <v>45719</v>
      </c>
      <c r="H28" s="56" t="s">
        <v>492</v>
      </c>
    </row>
    <row r="29" spans="2:8" x14ac:dyDescent="0.25">
      <c r="B29" s="52">
        <v>1686</v>
      </c>
      <c r="C29" s="53" t="str">
        <f>VLOOKUP(B29,EFFECTIF!A:X,2,FALSE)</f>
        <v>BARRAHO</v>
      </c>
      <c r="D29" s="53" t="str">
        <f>VLOOKUP(B29,EFFECTIF!A:X,3,FALSE)</f>
        <v>ZAKARIAE</v>
      </c>
      <c r="E29" s="54" t="s">
        <v>40</v>
      </c>
      <c r="F29" s="55" t="str">
        <f>VLOOKUP(B29,EFFECTIF!A:X,5,FALSE)</f>
        <v>Employé</v>
      </c>
      <c r="G29" s="56">
        <f>VLOOKUP(B29,EFFECTIF!A:X,6,FALSE)</f>
        <v>45719</v>
      </c>
      <c r="H29" s="56" t="s">
        <v>47</v>
      </c>
    </row>
    <row r="30" spans="2:8" x14ac:dyDescent="0.25">
      <c r="B30" s="52">
        <v>1687</v>
      </c>
      <c r="C30" s="53" t="str">
        <f>VLOOKUP(B30,EFFECTIF!A:X,2,FALSE)</f>
        <v>LABRIKI</v>
      </c>
      <c r="D30" s="53" t="str">
        <f>VLOOKUP(B30,EFFECTIF!A:X,3,FALSE)</f>
        <v>OUSSAMA</v>
      </c>
      <c r="E30" s="54" t="s">
        <v>40</v>
      </c>
      <c r="F30" s="55" t="str">
        <f>VLOOKUP(B30,EFFECTIF!A:X,5,FALSE)</f>
        <v>Employé</v>
      </c>
      <c r="G30" s="56">
        <f>VLOOKUP(B30,EFFECTIF!A:X,6,FALSE)</f>
        <v>45719</v>
      </c>
      <c r="H30" s="56" t="s">
        <v>47</v>
      </c>
    </row>
    <row r="31" spans="2:8" x14ac:dyDescent="0.25">
      <c r="B31" s="58">
        <v>1672</v>
      </c>
      <c r="C31" s="53" t="str">
        <f>VLOOKUP(B31,EFFECTIF!A:X,2,FALSE)</f>
        <v>CHIGUER</v>
      </c>
      <c r="D31" s="53" t="str">
        <f>VLOOKUP(B31,EFFECTIF!A:X,3,FALSE)</f>
        <v>HOUMMADA</v>
      </c>
      <c r="E31" s="59" t="s">
        <v>40</v>
      </c>
      <c r="F31" s="55" t="str">
        <f>VLOOKUP(B31,EFFECTIF!A:X,5,FALSE)</f>
        <v>Maitrise</v>
      </c>
      <c r="G31" s="56">
        <f>VLOOKUP(B31,EFFECTIF!A:X,6,FALSE)</f>
        <v>45659</v>
      </c>
      <c r="H31" s="56" t="s">
        <v>492</v>
      </c>
    </row>
    <row r="32" spans="2:8" ht="15.75" thickBot="1" x14ac:dyDescent="0.3">
      <c r="B32" s="52">
        <v>1673</v>
      </c>
      <c r="C32" s="53" t="str">
        <f>VLOOKUP(B32,EFFECTIF!A:X,2,FALSE)</f>
        <v>CHAOUQUI</v>
      </c>
      <c r="D32" s="53" t="str">
        <f>VLOOKUP(B32,EFFECTIF!A:X,3,FALSE)</f>
        <v>MOHAMED</v>
      </c>
      <c r="E32" s="54" t="s">
        <v>40</v>
      </c>
      <c r="F32" s="55" t="str">
        <f>VLOOKUP(B32,EFFECTIF!A:X,5,FALSE)</f>
        <v>Maitrise</v>
      </c>
      <c r="G32" s="56">
        <f>VLOOKUP(B32,EFFECTIF!A:X,6,FALSE)</f>
        <v>45659</v>
      </c>
      <c r="H32" s="56" t="s">
        <v>492</v>
      </c>
    </row>
    <row r="33" spans="2:8" ht="15.75" thickBot="1" x14ac:dyDescent="0.3">
      <c r="B33" s="131" t="s">
        <v>493</v>
      </c>
      <c r="C33" s="132"/>
      <c r="D33" s="132"/>
      <c r="E33" s="133"/>
      <c r="F33" s="60">
        <f>+COUNT(B4:B32)</f>
        <v>29</v>
      </c>
    </row>
    <row r="35" spans="2:8" ht="15.75" thickBot="1" x14ac:dyDescent="0.3"/>
    <row r="36" spans="2:8" ht="16.5" thickTop="1" x14ac:dyDescent="0.25">
      <c r="B36" s="65" t="s">
        <v>324</v>
      </c>
      <c r="C36" s="57" t="s">
        <v>325</v>
      </c>
      <c r="D36" s="57" t="s">
        <v>489</v>
      </c>
      <c r="E36" s="57" t="s">
        <v>490</v>
      </c>
      <c r="F36" s="57" t="s">
        <v>18</v>
      </c>
      <c r="G36" s="57" t="s">
        <v>494</v>
      </c>
      <c r="H36" s="57" t="s">
        <v>495</v>
      </c>
    </row>
    <row r="37" spans="2:8" x14ac:dyDescent="0.25">
      <c r="B37" s="61">
        <v>302</v>
      </c>
      <c r="C37" s="62" t="str">
        <f>VLOOKUP(B37,EFFECTIF!A:X,2,FALSE)</f>
        <v>CHOUA</v>
      </c>
      <c r="D37" s="62" t="str">
        <f>VLOOKUP(B37,EFFECTIF!A:X,3,FALSE)</f>
        <v>MOHAMED</v>
      </c>
      <c r="E37" s="63" t="s">
        <v>36</v>
      </c>
      <c r="F37" s="55" t="str">
        <f>VLOOKUP(B37,EFFECTIF!A:X,5,FALSE)</f>
        <v>Maitrise</v>
      </c>
      <c r="G37" s="86">
        <f>VLOOKUP(B37,EFFECTIF!A:X,10,FALSE)</f>
        <v>45838</v>
      </c>
      <c r="H37" s="54" t="str">
        <f>VLOOKUP(B37,EFFECTIF!A:X,12,FALSE)</f>
        <v>Retraite</v>
      </c>
    </row>
    <row r="38" spans="2:8" x14ac:dyDescent="0.25">
      <c r="B38" s="61">
        <v>324</v>
      </c>
      <c r="C38" s="62" t="str">
        <f>VLOOKUP(B38,EFFECTIF!A:X,2,FALSE)</f>
        <v>EL KADAOUI</v>
      </c>
      <c r="D38" s="62" t="str">
        <f>VLOOKUP(B38,EFFECTIF!A:X,3,FALSE)</f>
        <v>HASSAN</v>
      </c>
      <c r="E38" s="63" t="s">
        <v>36</v>
      </c>
      <c r="F38" s="55" t="str">
        <f>VLOOKUP(B38,EFFECTIF!A:X,5,FALSE)</f>
        <v>Maitrise</v>
      </c>
      <c r="G38" s="86">
        <f>VLOOKUP(B38,EFFECTIF!A:X,10,FALSE)</f>
        <v>45807</v>
      </c>
      <c r="H38" s="54" t="str">
        <f>VLOOKUP(B38,EFFECTIF!A:X,12,FALSE)</f>
        <v>Retraite</v>
      </c>
    </row>
    <row r="39" spans="2:8" x14ac:dyDescent="0.25">
      <c r="B39" s="61">
        <v>344</v>
      </c>
      <c r="C39" s="62" t="s">
        <v>62</v>
      </c>
      <c r="D39" s="62" t="s">
        <v>42</v>
      </c>
      <c r="E39" s="63" t="s">
        <v>36</v>
      </c>
      <c r="F39" s="55" t="str">
        <f>VLOOKUP(B39,EFFECTIF!A:X,5,FALSE)</f>
        <v>Maitrise</v>
      </c>
      <c r="G39" s="86">
        <v>45953</v>
      </c>
      <c r="H39" s="54" t="str">
        <f>VLOOKUP(B39,EFFECTIF!A:X,12,FALSE)</f>
        <v>Retraite</v>
      </c>
    </row>
    <row r="40" spans="2:8" x14ac:dyDescent="0.25">
      <c r="B40" s="61">
        <v>354</v>
      </c>
      <c r="C40" s="62" t="str">
        <f>VLOOKUP(B40,EFFECTIF!A:X,2,FALSE)</f>
        <v>EL IDRISSI</v>
      </c>
      <c r="D40" s="62" t="str">
        <f>VLOOKUP(B40,EFFECTIF!A:X,3,FALSE)</f>
        <v>NOUREDDINE</v>
      </c>
      <c r="E40" s="63" t="s">
        <v>36</v>
      </c>
      <c r="F40" s="55" t="str">
        <f>VLOOKUP(B40,EFFECTIF!A:X,5,FALSE)</f>
        <v>Employé</v>
      </c>
      <c r="G40" s="86">
        <f>VLOOKUP(B40,EFFECTIF!A:X,10,FALSE)</f>
        <v>45782</v>
      </c>
      <c r="H40" s="54" t="str">
        <f>VLOOKUP(B40,EFFECTIF!A:X,12,FALSE)</f>
        <v>Retraite</v>
      </c>
    </row>
    <row r="41" spans="2:8" x14ac:dyDescent="0.25">
      <c r="B41" s="61">
        <v>363</v>
      </c>
      <c r="C41" s="62" t="str">
        <f>VLOOKUP(B41,EFFECTIF!A:X,2,FALSE)</f>
        <v>EL HAFHAFI</v>
      </c>
      <c r="D41" s="62" t="str">
        <f>VLOOKUP(B41,EFFECTIF!A:X,3,FALSE)</f>
        <v>ABDELAZIZ</v>
      </c>
      <c r="E41" s="64" t="s">
        <v>36</v>
      </c>
      <c r="F41" s="55" t="str">
        <f>VLOOKUP(B41,EFFECTIF!A:X,5,FALSE)</f>
        <v>Employé</v>
      </c>
      <c r="G41" s="86">
        <f>VLOOKUP(B41,EFFECTIF!A:X,10,FALSE)</f>
        <v>45826</v>
      </c>
      <c r="H41" s="54" t="str">
        <f>VLOOKUP(B41,EFFECTIF!A:X,12,FALSE)</f>
        <v>Retraite</v>
      </c>
    </row>
    <row r="42" spans="2:8" x14ac:dyDescent="0.25">
      <c r="B42" s="61">
        <v>491</v>
      </c>
      <c r="C42" s="62" t="str">
        <f>VLOOKUP(B42,EFFECTIF!A:X,2,FALSE)</f>
        <v>KOUBAA</v>
      </c>
      <c r="D42" s="62" t="str">
        <f>VLOOKUP(B42,EFFECTIF!A:X,3,FALSE)</f>
        <v>HASSAN</v>
      </c>
      <c r="E42" s="64" t="s">
        <v>36</v>
      </c>
      <c r="F42" s="55" t="str">
        <f>VLOOKUP(B42,EFFECTIF!A:X,5,FALSE)</f>
        <v>Employé</v>
      </c>
      <c r="G42" s="86">
        <f>VLOOKUP(B42,EFFECTIF!A:X,10,FALSE)</f>
        <v>45818</v>
      </c>
      <c r="H42" s="54" t="str">
        <f>VLOOKUP(B42,EFFECTIF!A:X,12,FALSE)</f>
        <v>Retraite</v>
      </c>
    </row>
    <row r="43" spans="2:8" x14ac:dyDescent="0.25">
      <c r="B43" s="61">
        <v>499</v>
      </c>
      <c r="C43" s="62" t="str">
        <f>VLOOKUP(B43,EFFECTIF!A:X,2,FALSE)</f>
        <v>CHOURI</v>
      </c>
      <c r="D43" s="62" t="str">
        <f>VLOOKUP(B43,EFFECTIF!A:X,3,FALSE)</f>
        <v>ALI</v>
      </c>
      <c r="E43" s="64" t="s">
        <v>36</v>
      </c>
      <c r="F43" s="55" t="str">
        <f>VLOOKUP(B43,EFFECTIF!A:X,5,FALSE)</f>
        <v>Employé</v>
      </c>
      <c r="G43" s="86">
        <f>VLOOKUP(B43,EFFECTIF!A:X,10,FALSE)</f>
        <v>45870</v>
      </c>
      <c r="H43" s="54" t="str">
        <f>VLOOKUP(B43,EFFECTIF!A:X,12,FALSE)</f>
        <v>Démission</v>
      </c>
    </row>
    <row r="44" spans="2:8" x14ac:dyDescent="0.25">
      <c r="B44" s="61">
        <v>1185</v>
      </c>
      <c r="C44" s="62" t="str">
        <f>VLOOKUP(B44,EFFECTIF!A:X,2,FALSE)</f>
        <v>CHAKER</v>
      </c>
      <c r="D44" s="62" t="str">
        <f>VLOOKUP(B44,EFFECTIF!A:X,3,FALSE)</f>
        <v>Hassan</v>
      </c>
      <c r="E44" s="64" t="s">
        <v>36</v>
      </c>
      <c r="F44" s="55" t="str">
        <f>VLOOKUP(B44,EFFECTIF!A:X,5,FALSE)</f>
        <v>Employé</v>
      </c>
      <c r="G44" s="86">
        <f>VLOOKUP(B44,EFFECTIF!A:X,10,FALSE)</f>
        <v>45702</v>
      </c>
      <c r="H44" s="54" t="str">
        <f>VLOOKUP(B44,EFFECTIF!A:X,12,FALSE)</f>
        <v>Démission</v>
      </c>
    </row>
    <row r="45" spans="2:8" x14ac:dyDescent="0.25">
      <c r="B45" s="61">
        <v>1210</v>
      </c>
      <c r="C45" s="62" t="str">
        <f>VLOOKUP(B45,EFFECTIF!A:X,2,FALSE)</f>
        <v>RAHOUTI</v>
      </c>
      <c r="D45" s="62" t="str">
        <f>VLOOKUP(B45,EFFECTIF!A:X,3,FALSE)</f>
        <v>YAHYA</v>
      </c>
      <c r="E45" s="63" t="s">
        <v>36</v>
      </c>
      <c r="F45" s="55" t="str">
        <f>VLOOKUP(B45,EFFECTIF!A:X,5,FALSE)</f>
        <v>Maitrise</v>
      </c>
      <c r="G45" s="86">
        <f>VLOOKUP(B45,EFFECTIF!A:X,10,FALSE)</f>
        <v>45898</v>
      </c>
      <c r="H45" s="54" t="str">
        <f>VLOOKUP(B45,EFFECTIF!A:X,12,FALSE)</f>
        <v>Démission</v>
      </c>
    </row>
    <row r="46" spans="2:8" x14ac:dyDescent="0.25">
      <c r="B46" s="61">
        <v>1299</v>
      </c>
      <c r="C46" s="62" t="str">
        <f>VLOOKUP(B46,EFFECTIF!A:X,2,FALSE)</f>
        <v>EL AMRANI</v>
      </c>
      <c r="D46" s="62" t="str">
        <f>VLOOKUP(B46,EFFECTIF!A:X,3,FALSE)</f>
        <v>MOHAMMED</v>
      </c>
      <c r="E46" s="63" t="s">
        <v>36</v>
      </c>
      <c r="F46" s="55" t="str">
        <f>VLOOKUP(B46,EFFECTIF!A:X,5,FALSE)</f>
        <v>Maitrise</v>
      </c>
      <c r="G46" s="86">
        <f>VLOOKUP(B46,EFFECTIF!A:X,10,FALSE)</f>
        <v>45838</v>
      </c>
      <c r="H46" s="54" t="str">
        <f>VLOOKUP(B46,EFFECTIF!A:X,12,FALSE)</f>
        <v>Démission</v>
      </c>
    </row>
    <row r="47" spans="2:8" x14ac:dyDescent="0.25">
      <c r="B47" s="61">
        <v>1416</v>
      </c>
      <c r="C47" s="62" t="str">
        <f>VLOOKUP(B47,EFFECTIF!A:X,2,FALSE)</f>
        <v>ASBAI</v>
      </c>
      <c r="D47" s="62" t="str">
        <f>VLOOKUP(B47,EFFECTIF!A:X,3,FALSE)</f>
        <v>ILYAS</v>
      </c>
      <c r="E47" s="63" t="s">
        <v>36</v>
      </c>
      <c r="F47" s="55" t="str">
        <f>VLOOKUP(B47,EFFECTIF!A:X,5,FALSE)</f>
        <v>Employé</v>
      </c>
      <c r="G47" s="86">
        <f>VLOOKUP(B47,EFFECTIF!A:X,10,FALSE)</f>
        <v>45880</v>
      </c>
      <c r="H47" s="54" t="str">
        <f>VLOOKUP(B47,EFFECTIF!A:X,12,FALSE)</f>
        <v>Démission</v>
      </c>
    </row>
    <row r="48" spans="2:8" x14ac:dyDescent="0.25">
      <c r="B48" s="61">
        <v>1417</v>
      </c>
      <c r="C48" s="62" t="str">
        <f>VLOOKUP(B48,EFFECTIF!A:X,2,FALSE)</f>
        <v>AABKARI</v>
      </c>
      <c r="D48" s="62" t="str">
        <f>VLOOKUP(B48,EFFECTIF!A:X,3,FALSE)</f>
        <v>MOUAD</v>
      </c>
      <c r="E48" s="64" t="s">
        <v>36</v>
      </c>
      <c r="F48" s="55" t="str">
        <f>VLOOKUP(B48,EFFECTIF!A:X,5,FALSE)</f>
        <v>Maitrise</v>
      </c>
      <c r="G48" s="86">
        <f>VLOOKUP(B48,EFFECTIF!A:X,10,FALSE)</f>
        <v>45740</v>
      </c>
      <c r="H48" s="54" t="str">
        <f>VLOOKUP(B48,EFFECTIF!A:X,12,FALSE)</f>
        <v>Démission</v>
      </c>
    </row>
    <row r="49" spans="2:6" x14ac:dyDescent="0.25">
      <c r="B49" s="134" t="s">
        <v>10</v>
      </c>
      <c r="C49" s="134"/>
      <c r="D49" s="134"/>
      <c r="E49" s="134"/>
      <c r="F49" s="66">
        <f>+COUNT(B37:B48)</f>
        <v>12</v>
      </c>
    </row>
  </sheetData>
  <autoFilter ref="B36:H36" xr:uid="{BE61D797-C45D-47CF-98FC-DB5678E4D875}"/>
  <mergeCells count="2">
    <mergeCell ref="B33:E33"/>
    <mergeCell ref="B49:E49"/>
  </mergeCells>
  <phoneticPr fontId="24" type="noConversion"/>
  <dataValidations count="1">
    <dataValidation type="list" allowBlank="1" showInputMessage="1" showErrorMessage="1" sqref="E45:E47 E37:E40" xr:uid="{72A80D19-0290-47B6-8899-D89E61ECD562}">
      <formula1>#REF!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7748-02B9-4386-A94F-00047B9A9965}">
  <dimension ref="A2:B138"/>
  <sheetViews>
    <sheetView topLeftCell="A50" workbookViewId="0">
      <selection activeCell="A50" sqref="A50"/>
    </sheetView>
  </sheetViews>
  <sheetFormatPr baseColWidth="10" defaultColWidth="11.42578125" defaultRowHeight="15" x14ac:dyDescent="0.25"/>
  <cols>
    <col min="2" max="2" width="26.85546875" customWidth="1"/>
  </cols>
  <sheetData>
    <row r="2" spans="1:2" x14ac:dyDescent="0.25">
      <c r="A2" s="90">
        <v>239</v>
      </c>
      <c r="B2" t="str">
        <f>+VLOOKUP(A2,EFFECTIF!A:B,2,FALSE)</f>
        <v>BELHASSANI</v>
      </c>
    </row>
    <row r="3" spans="1:2" x14ac:dyDescent="0.25">
      <c r="A3" s="90">
        <v>309</v>
      </c>
      <c r="B3" t="str">
        <f>+VLOOKUP(A3,EFFECTIF!A:B,2,FALSE)</f>
        <v>AMDARI</v>
      </c>
    </row>
    <row r="4" spans="1:2" x14ac:dyDescent="0.25">
      <c r="A4" s="90">
        <v>325</v>
      </c>
      <c r="B4" t="str">
        <f>+VLOOKUP(A4,EFFECTIF!A:B,2,FALSE)</f>
        <v>LAMRINI</v>
      </c>
    </row>
    <row r="5" spans="1:2" x14ac:dyDescent="0.25">
      <c r="A5" s="90">
        <v>332</v>
      </c>
      <c r="B5" t="str">
        <f>+VLOOKUP(A5,EFFECTIF!A:B,2,FALSE)</f>
        <v>RHANJATI</v>
      </c>
    </row>
    <row r="6" spans="1:2" x14ac:dyDescent="0.25">
      <c r="A6" s="90">
        <v>333</v>
      </c>
      <c r="B6" t="str">
        <f>+VLOOKUP(A6,EFFECTIF!A:B,2,FALSE)</f>
        <v>BOUAAMAMA</v>
      </c>
    </row>
    <row r="7" spans="1:2" x14ac:dyDescent="0.25">
      <c r="A7" s="90">
        <v>338</v>
      </c>
      <c r="B7" t="str">
        <f>+VLOOKUP(A7,EFFECTIF!A:B,2,FALSE)</f>
        <v>AKALAI</v>
      </c>
    </row>
    <row r="8" spans="1:2" x14ac:dyDescent="0.25">
      <c r="A8" s="90">
        <v>341</v>
      </c>
      <c r="B8" t="str">
        <f>+VLOOKUP(A8,EFFECTIF!A:B,2,FALSE)</f>
        <v>ALAOUI</v>
      </c>
    </row>
    <row r="9" spans="1:2" x14ac:dyDescent="0.25">
      <c r="A9" s="90">
        <v>344</v>
      </c>
      <c r="B9" t="str">
        <f>+VLOOKUP(A9,EFFECTIF!A:B,2,FALSE)</f>
        <v>EL AMMARI</v>
      </c>
    </row>
    <row r="10" spans="1:2" x14ac:dyDescent="0.25">
      <c r="A10" s="90">
        <v>347</v>
      </c>
      <c r="B10" t="str">
        <f>+VLOOKUP(A10,EFFECTIF!A:B,2,FALSE)</f>
        <v>AOUANE</v>
      </c>
    </row>
    <row r="11" spans="1:2" x14ac:dyDescent="0.25">
      <c r="A11" s="90">
        <v>355</v>
      </c>
      <c r="B11" t="str">
        <f>+VLOOKUP(A11,EFFECTIF!A:B,2,FALSE)</f>
        <v>ALJI</v>
      </c>
    </row>
    <row r="12" spans="1:2" x14ac:dyDescent="0.25">
      <c r="A12" s="90">
        <v>356</v>
      </c>
      <c r="B12" t="str">
        <f>+VLOOKUP(A12,EFFECTIF!A:B,2,FALSE)</f>
        <v>IATISSAMI</v>
      </c>
    </row>
    <row r="13" spans="1:2" x14ac:dyDescent="0.25">
      <c r="A13" s="90">
        <v>357</v>
      </c>
      <c r="B13" t="str">
        <f>+VLOOKUP(A13,EFFECTIF!A:B,2,FALSE)</f>
        <v>MOUNIB</v>
      </c>
    </row>
    <row r="14" spans="1:2" x14ac:dyDescent="0.25">
      <c r="A14" s="90">
        <v>364</v>
      </c>
      <c r="B14" t="str">
        <f>+VLOOKUP(A14,EFFECTIF!A:B,2,FALSE)</f>
        <v>JAOUAL</v>
      </c>
    </row>
    <row r="15" spans="1:2" x14ac:dyDescent="0.25">
      <c r="A15" s="90">
        <v>367</v>
      </c>
      <c r="B15" t="str">
        <f>+VLOOKUP(A15,EFFECTIF!A:B,2,FALSE)</f>
        <v>AKAAOUCH</v>
      </c>
    </row>
    <row r="16" spans="1:2" x14ac:dyDescent="0.25">
      <c r="A16" s="90">
        <v>368</v>
      </c>
      <c r="B16" t="str">
        <f>+VLOOKUP(A16,EFFECTIF!A:B,2,FALSE)</f>
        <v>OUCHNI</v>
      </c>
    </row>
    <row r="17" spans="1:2" x14ac:dyDescent="0.25">
      <c r="A17" s="90">
        <v>372</v>
      </c>
      <c r="B17" t="str">
        <f>+VLOOKUP(A17,EFFECTIF!A:B,2,FALSE)</f>
        <v>ABDAIM</v>
      </c>
    </row>
    <row r="18" spans="1:2" x14ac:dyDescent="0.25">
      <c r="A18" s="90">
        <v>380</v>
      </c>
      <c r="B18" t="str">
        <f>+VLOOKUP(A18,EFFECTIF!A:B,2,FALSE)</f>
        <v>AZZAMMOURI</v>
      </c>
    </row>
    <row r="19" spans="1:2" x14ac:dyDescent="0.25">
      <c r="A19" s="90">
        <v>393</v>
      </c>
      <c r="B19" t="str">
        <f>+VLOOKUP(A19,EFFECTIF!A:B,2,FALSE)</f>
        <v>TALAA</v>
      </c>
    </row>
    <row r="20" spans="1:2" x14ac:dyDescent="0.25">
      <c r="A20" s="90">
        <v>455</v>
      </c>
      <c r="B20" t="str">
        <f>+VLOOKUP(A20,EFFECTIF!A:B,2,FALSE)</f>
        <v>TAHIRI</v>
      </c>
    </row>
    <row r="21" spans="1:2" x14ac:dyDescent="0.25">
      <c r="A21" s="90">
        <v>456</v>
      </c>
      <c r="B21" t="str">
        <f>+VLOOKUP(A21,EFFECTIF!A:B,2,FALSE)</f>
        <v>ARRAISS</v>
      </c>
    </row>
    <row r="22" spans="1:2" x14ac:dyDescent="0.25">
      <c r="A22" s="90">
        <v>458</v>
      </c>
      <c r="B22" t="str">
        <f>+VLOOKUP(A22,EFFECTIF!A:B,2,FALSE)</f>
        <v>AZIZI</v>
      </c>
    </row>
    <row r="23" spans="1:2" x14ac:dyDescent="0.25">
      <c r="A23" s="90">
        <v>459</v>
      </c>
      <c r="B23" t="str">
        <f>+VLOOKUP(A23,EFFECTIF!A:B,2,FALSE)</f>
        <v>BEN OTMAN</v>
      </c>
    </row>
    <row r="24" spans="1:2" x14ac:dyDescent="0.25">
      <c r="A24" s="90">
        <v>462</v>
      </c>
      <c r="B24" t="str">
        <f>+VLOOKUP(A24,EFFECTIF!A:B,2,FALSE)</f>
        <v>LAAZIBI</v>
      </c>
    </row>
    <row r="25" spans="1:2" x14ac:dyDescent="0.25">
      <c r="A25" s="90">
        <v>464</v>
      </c>
      <c r="B25" t="str">
        <f>+VLOOKUP(A25,EFFECTIF!A:B,2,FALSE)</f>
        <v>MAZOUJI</v>
      </c>
    </row>
    <row r="26" spans="1:2" x14ac:dyDescent="0.25">
      <c r="A26" s="90">
        <v>466</v>
      </c>
      <c r="B26" t="str">
        <f>+VLOOKUP(A26,EFFECTIF!A:B,2,FALSE)</f>
        <v>AARAB</v>
      </c>
    </row>
    <row r="27" spans="1:2" x14ac:dyDescent="0.25">
      <c r="A27" s="90">
        <v>467</v>
      </c>
      <c r="B27" t="str">
        <f>+VLOOKUP(A27,EFFECTIF!A:B,2,FALSE)</f>
        <v>ABARCHI</v>
      </c>
    </row>
    <row r="28" spans="1:2" x14ac:dyDescent="0.25">
      <c r="A28" s="90">
        <v>468</v>
      </c>
      <c r="B28" t="str">
        <f>+VLOOKUP(A28,EFFECTIF!A:B,2,FALSE)</f>
        <v>ABDESSADKI</v>
      </c>
    </row>
    <row r="29" spans="1:2" x14ac:dyDescent="0.25">
      <c r="A29" s="90">
        <v>469</v>
      </c>
      <c r="B29" t="str">
        <f>+VLOOKUP(A29,EFFECTIF!A:B,2,FALSE)</f>
        <v>ABDESSADKI</v>
      </c>
    </row>
    <row r="30" spans="1:2" x14ac:dyDescent="0.25">
      <c r="A30" s="90">
        <v>470</v>
      </c>
      <c r="B30" t="str">
        <f>+VLOOKUP(A30,EFFECTIF!A:B,2,FALSE)</f>
        <v>ADDAHRI</v>
      </c>
    </row>
    <row r="31" spans="1:2" x14ac:dyDescent="0.25">
      <c r="A31" s="90">
        <v>471</v>
      </c>
      <c r="B31" t="str">
        <f>+VLOOKUP(A31,EFFECTIF!A:B,2,FALSE)</f>
        <v>AGARTIT</v>
      </c>
    </row>
    <row r="32" spans="1:2" x14ac:dyDescent="0.25">
      <c r="A32" s="90">
        <v>472</v>
      </c>
      <c r="B32" t="str">
        <f>+VLOOKUP(A32,EFFECTIF!A:B,2,FALSE)</f>
        <v>AOURAM</v>
      </c>
    </row>
    <row r="33" spans="1:2" x14ac:dyDescent="0.25">
      <c r="A33" s="90">
        <v>473</v>
      </c>
      <c r="B33" t="str">
        <f>+VLOOKUP(A33,EFFECTIF!A:B,2,FALSE)</f>
        <v>ASGHIR</v>
      </c>
    </row>
    <row r="34" spans="1:2" x14ac:dyDescent="0.25">
      <c r="A34" s="90">
        <v>475</v>
      </c>
      <c r="B34" t="str">
        <f>+VLOOKUP(A34,EFFECTIF!A:B,2,FALSE)</f>
        <v>ATAF</v>
      </c>
    </row>
    <row r="35" spans="1:2" x14ac:dyDescent="0.25">
      <c r="A35" s="90">
        <v>476</v>
      </c>
      <c r="B35" t="str">
        <f>+VLOOKUP(A35,EFFECTIF!A:B,2,FALSE)</f>
        <v>BOUDIOUAN</v>
      </c>
    </row>
    <row r="36" spans="1:2" x14ac:dyDescent="0.25">
      <c r="A36" s="90">
        <v>477</v>
      </c>
      <c r="B36" t="str">
        <f>+VLOOKUP(A36,EFFECTIF!A:B,2,FALSE)</f>
        <v>BOUHAITI</v>
      </c>
    </row>
    <row r="37" spans="1:2" x14ac:dyDescent="0.25">
      <c r="A37" s="90">
        <v>479</v>
      </c>
      <c r="B37" t="str">
        <f>+VLOOKUP(A37,EFFECTIF!A:B,2,FALSE)</f>
        <v>BRIMO</v>
      </c>
    </row>
    <row r="38" spans="1:2" x14ac:dyDescent="0.25">
      <c r="A38" s="90">
        <v>480</v>
      </c>
      <c r="B38" t="str">
        <f>+VLOOKUP(A38,EFFECTIF!A:B,2,FALSE)</f>
        <v>CHAKKOU</v>
      </c>
    </row>
    <row r="39" spans="1:2" x14ac:dyDescent="0.25">
      <c r="A39" s="90">
        <v>484</v>
      </c>
      <c r="B39" t="str">
        <f>+VLOOKUP(A39,EFFECTIF!A:B,2,FALSE)</f>
        <v>FANA</v>
      </c>
    </row>
    <row r="40" spans="1:2" x14ac:dyDescent="0.25">
      <c r="A40" s="90">
        <v>485</v>
      </c>
      <c r="B40" t="str">
        <f>+VLOOKUP(A40,EFFECTIF!A:B,2,FALSE)</f>
        <v>HADDOUCHI</v>
      </c>
    </row>
    <row r="41" spans="1:2" x14ac:dyDescent="0.25">
      <c r="A41" s="90">
        <v>487</v>
      </c>
      <c r="B41" t="str">
        <f>+VLOOKUP(A41,EFFECTIF!A:B,2,FALSE)</f>
        <v>ICH CHEN</v>
      </c>
    </row>
    <row r="42" spans="1:2" x14ac:dyDescent="0.25">
      <c r="A42" s="90">
        <v>490</v>
      </c>
      <c r="B42" t="str">
        <f>+VLOOKUP(A42,EFFECTIF!A:B,2,FALSE)</f>
        <v>JIYAR</v>
      </c>
    </row>
    <row r="43" spans="1:2" x14ac:dyDescent="0.25">
      <c r="A43" s="90">
        <v>492</v>
      </c>
      <c r="B43" t="str">
        <f>+VLOOKUP(A43,EFFECTIF!A:B,2,FALSE)</f>
        <v>LAGHRABLI</v>
      </c>
    </row>
    <row r="44" spans="1:2" x14ac:dyDescent="0.25">
      <c r="A44" s="90">
        <v>493</v>
      </c>
      <c r="B44" t="str">
        <f>+VLOOKUP(A44,EFFECTIF!A:B,2,FALSE)</f>
        <v>LAZREG</v>
      </c>
    </row>
    <row r="45" spans="1:2" x14ac:dyDescent="0.25">
      <c r="A45" s="90">
        <v>494</v>
      </c>
      <c r="B45" t="str">
        <f>+VLOOKUP(A45,EFFECTIF!A:B,2,FALSE)</f>
        <v>MACHROUT</v>
      </c>
    </row>
    <row r="46" spans="1:2" x14ac:dyDescent="0.25">
      <c r="A46" s="90">
        <v>495</v>
      </c>
      <c r="B46" t="str">
        <f>+VLOOKUP(A46,EFFECTIF!A:B,2,FALSE)</f>
        <v>OUHADDOU</v>
      </c>
    </row>
    <row r="47" spans="1:2" x14ac:dyDescent="0.25">
      <c r="A47" s="90">
        <v>496</v>
      </c>
      <c r="B47" t="str">
        <f>+VLOOKUP(A47,EFFECTIF!A:B,2,FALSE)</f>
        <v>RADI</v>
      </c>
    </row>
    <row r="48" spans="1:2" x14ac:dyDescent="0.25">
      <c r="A48" s="90">
        <v>497</v>
      </c>
      <c r="B48" t="str">
        <f>+VLOOKUP(A48,EFFECTIF!A:B,2,FALSE)</f>
        <v>ROUMANI</v>
      </c>
    </row>
    <row r="49" spans="1:2" x14ac:dyDescent="0.25">
      <c r="A49" s="90">
        <v>498</v>
      </c>
      <c r="B49" t="str">
        <f>+VLOOKUP(A49,EFFECTIF!A:B,2,FALSE)</f>
        <v>TALEB</v>
      </c>
    </row>
    <row r="50" spans="1:2" x14ac:dyDescent="0.25">
      <c r="A50" s="90">
        <v>504</v>
      </c>
      <c r="B50" t="str">
        <f>+VLOOKUP(A50,EFFECTIF!A:B,2,FALSE)</f>
        <v>EL BOUJADAYNI</v>
      </c>
    </row>
    <row r="51" spans="1:2" x14ac:dyDescent="0.25">
      <c r="A51" s="90">
        <v>505</v>
      </c>
      <c r="B51" t="str">
        <f>+VLOOKUP(A51,EFFECTIF!A:B,2,FALSE)</f>
        <v>ET-TAZI</v>
      </c>
    </row>
    <row r="52" spans="1:2" x14ac:dyDescent="0.25">
      <c r="A52" s="90">
        <v>507</v>
      </c>
      <c r="B52" t="str">
        <f>+VLOOKUP(A52,EFFECTIF!A:B,2,FALSE)</f>
        <v>LAOUKILI</v>
      </c>
    </row>
    <row r="53" spans="1:2" x14ac:dyDescent="0.25">
      <c r="A53" s="90">
        <v>510</v>
      </c>
      <c r="B53" t="str">
        <f>+VLOOKUP(A53,EFFECTIF!A:B,2,FALSE)</f>
        <v>LAKHAL</v>
      </c>
    </row>
    <row r="54" spans="1:2" x14ac:dyDescent="0.25">
      <c r="A54" s="90">
        <v>511</v>
      </c>
      <c r="B54" t="str">
        <f>+VLOOKUP(A54,EFFECTIF!A:B,2,FALSE)</f>
        <v>EL FARES</v>
      </c>
    </row>
    <row r="55" spans="1:2" x14ac:dyDescent="0.25">
      <c r="A55" s="90">
        <v>512</v>
      </c>
      <c r="B55" t="str">
        <f>+VLOOKUP(A55,EFFECTIF!A:B,2,FALSE)</f>
        <v>ER RAJI</v>
      </c>
    </row>
    <row r="56" spans="1:2" x14ac:dyDescent="0.25">
      <c r="A56" s="90">
        <v>588</v>
      </c>
      <c r="B56" t="str">
        <f>+VLOOKUP(A56,EFFECTIF!A:B,2,FALSE)</f>
        <v>JEBBAR</v>
      </c>
    </row>
    <row r="57" spans="1:2" x14ac:dyDescent="0.25">
      <c r="A57" s="90">
        <v>596</v>
      </c>
      <c r="B57" t="str">
        <f>+VLOOKUP(A57,EFFECTIF!A:B,2,FALSE)</f>
        <v>BEN JILALI</v>
      </c>
    </row>
    <row r="58" spans="1:2" x14ac:dyDescent="0.25">
      <c r="A58" s="90">
        <v>597</v>
      </c>
      <c r="B58" t="str">
        <f>+VLOOKUP(A58,EFFECTIF!A:B,2,FALSE)</f>
        <v>CHAOUCH</v>
      </c>
    </row>
    <row r="59" spans="1:2" x14ac:dyDescent="0.25">
      <c r="A59" s="90">
        <v>819</v>
      </c>
      <c r="B59" t="str">
        <f>+VLOOKUP(A59,EFFECTIF!A:B,2,FALSE)</f>
        <v>ABDELKHALEK</v>
      </c>
    </row>
    <row r="60" spans="1:2" x14ac:dyDescent="0.25">
      <c r="A60" s="90">
        <v>824</v>
      </c>
      <c r="B60" t="str">
        <f>+VLOOKUP(A60,EFFECTIF!A:B,2,FALSE)</f>
        <v>ZANIBOU</v>
      </c>
    </row>
    <row r="61" spans="1:2" x14ac:dyDescent="0.25">
      <c r="A61" s="90">
        <v>887</v>
      </c>
      <c r="B61" t="str">
        <f>+VLOOKUP(A61,EFFECTIF!A:B,2,FALSE)</f>
        <v>AZHAF</v>
      </c>
    </row>
    <row r="62" spans="1:2" x14ac:dyDescent="0.25">
      <c r="A62" s="90">
        <v>957</v>
      </c>
      <c r="B62" t="str">
        <f>+VLOOKUP(A62,EFFECTIF!A:B,2,FALSE)</f>
        <v>SLIMANI</v>
      </c>
    </row>
    <row r="63" spans="1:2" x14ac:dyDescent="0.25">
      <c r="A63" s="90">
        <v>1078</v>
      </c>
      <c r="B63" t="str">
        <f>+VLOOKUP(A63,EFFECTIF!A:B,2,FALSE)</f>
        <v>ZAHRAOUI</v>
      </c>
    </row>
    <row r="64" spans="1:2" x14ac:dyDescent="0.25">
      <c r="A64" s="90">
        <v>1081</v>
      </c>
      <c r="B64" t="str">
        <f>+VLOOKUP(A64,EFFECTIF!A:B,2,FALSE)</f>
        <v>ELHARROUTI</v>
      </c>
    </row>
    <row r="65" spans="1:2" x14ac:dyDescent="0.25">
      <c r="A65" s="90">
        <v>1082</v>
      </c>
      <c r="B65" t="str">
        <f>+VLOOKUP(A65,EFFECTIF!A:B,2,FALSE)</f>
        <v>EL BARRAGHI</v>
      </c>
    </row>
    <row r="66" spans="1:2" x14ac:dyDescent="0.25">
      <c r="A66" s="90">
        <v>1195</v>
      </c>
      <c r="B66" t="str">
        <f>+VLOOKUP(A66,EFFECTIF!A:B,2,FALSE)</f>
        <v>BARAKATE</v>
      </c>
    </row>
    <row r="67" spans="1:2" x14ac:dyDescent="0.25">
      <c r="A67" s="90">
        <v>1198</v>
      </c>
      <c r="B67" t="str">
        <f>+VLOOKUP(A67,EFFECTIF!A:B,2,FALSE)</f>
        <v>OUJAIDAN</v>
      </c>
    </row>
    <row r="68" spans="1:2" x14ac:dyDescent="0.25">
      <c r="A68" s="90">
        <v>1204</v>
      </c>
      <c r="B68" t="str">
        <f>+VLOOKUP(A68,EFFECTIF!A:B,2,FALSE)</f>
        <v>ENNCEIRI</v>
      </c>
    </row>
    <row r="69" spans="1:2" x14ac:dyDescent="0.25">
      <c r="A69" s="90">
        <v>1208</v>
      </c>
      <c r="B69" t="str">
        <f>+VLOOKUP(A69,EFFECTIF!A:B,2,FALSE)</f>
        <v>MOUADDINE</v>
      </c>
    </row>
    <row r="70" spans="1:2" x14ac:dyDescent="0.25">
      <c r="A70" s="90">
        <v>1271</v>
      </c>
      <c r="B70" t="str">
        <f>+VLOOKUP(A70,EFFECTIF!A:B,2,FALSE)</f>
        <v>BEN BOUAZZA</v>
      </c>
    </row>
    <row r="71" spans="1:2" x14ac:dyDescent="0.25">
      <c r="A71" s="90">
        <v>1272</v>
      </c>
      <c r="B71" t="str">
        <f>+VLOOKUP(A71,EFFECTIF!A:B,2,FALSE)</f>
        <v>EL HADRI</v>
      </c>
    </row>
    <row r="72" spans="1:2" x14ac:dyDescent="0.25">
      <c r="A72" s="90">
        <v>1280</v>
      </c>
      <c r="B72" t="str">
        <f>+VLOOKUP(A72,EFFECTIF!A:B,2,FALSE)</f>
        <v>HACHMI</v>
      </c>
    </row>
    <row r="73" spans="1:2" x14ac:dyDescent="0.25">
      <c r="A73" s="90">
        <v>1360</v>
      </c>
      <c r="B73" t="str">
        <f>+VLOOKUP(A73,EFFECTIF!A:B,2,FALSE)</f>
        <v>ADDI</v>
      </c>
    </row>
    <row r="74" spans="1:2" x14ac:dyDescent="0.25">
      <c r="A74" s="90">
        <v>1363</v>
      </c>
      <c r="B74" t="str">
        <f>+VLOOKUP(A74,EFFECTIF!A:B,2,FALSE)</f>
        <v>BENABID</v>
      </c>
    </row>
    <row r="75" spans="1:2" x14ac:dyDescent="0.25">
      <c r="A75" s="90">
        <v>1367</v>
      </c>
      <c r="B75" t="str">
        <f>+VLOOKUP(A75,EFFECTIF!A:B,2,FALSE)</f>
        <v>OUCHEN</v>
      </c>
    </row>
    <row r="76" spans="1:2" x14ac:dyDescent="0.25">
      <c r="A76" s="90">
        <v>1368</v>
      </c>
      <c r="B76" t="str">
        <f>+VLOOKUP(A76,EFFECTIF!A:B,2,FALSE)</f>
        <v>MARSAK</v>
      </c>
    </row>
    <row r="77" spans="1:2" x14ac:dyDescent="0.25">
      <c r="A77" s="90">
        <v>1382</v>
      </c>
      <c r="B77" t="str">
        <f>+VLOOKUP(A77,EFFECTIF!A:B,2,FALSE)</f>
        <v>EL YEBADRI</v>
      </c>
    </row>
    <row r="78" spans="1:2" x14ac:dyDescent="0.25">
      <c r="A78" s="90">
        <v>1389</v>
      </c>
      <c r="B78" t="str">
        <f>+VLOOKUP(A78,EFFECTIF!A:B,2,FALSE)</f>
        <v>BACHIRI</v>
      </c>
    </row>
    <row r="79" spans="1:2" x14ac:dyDescent="0.25">
      <c r="A79" s="90">
        <v>1390</v>
      </c>
      <c r="B79" t="str">
        <f>+VLOOKUP(A79,EFFECTIF!A:B,2,FALSE)</f>
        <v>AKEBI</v>
      </c>
    </row>
    <row r="80" spans="1:2" x14ac:dyDescent="0.25">
      <c r="A80" s="90">
        <v>1450</v>
      </c>
      <c r="B80" t="str">
        <f>+VLOOKUP(A80,EFFECTIF!A:B,2,FALSE)</f>
        <v>OUCHEN</v>
      </c>
    </row>
    <row r="81" spans="1:2" x14ac:dyDescent="0.25">
      <c r="A81" s="90">
        <v>1451</v>
      </c>
      <c r="B81" t="str">
        <f>+VLOOKUP(A81,EFFECTIF!A:B,2,FALSE)</f>
        <v>FEDDAHI</v>
      </c>
    </row>
    <row r="82" spans="1:2" x14ac:dyDescent="0.25">
      <c r="A82" s="90">
        <v>1457</v>
      </c>
      <c r="B82" t="str">
        <f>+VLOOKUP(A82,EFFECTIF!A:B,2,FALSE)</f>
        <v>IRABNE</v>
      </c>
    </row>
    <row r="83" spans="1:2" x14ac:dyDescent="0.25">
      <c r="A83" s="90">
        <v>1482</v>
      </c>
      <c r="B83" t="str">
        <f>+VLOOKUP(A83,EFFECTIF!A:B,2,FALSE)</f>
        <v>KHANOUCHI</v>
      </c>
    </row>
    <row r="84" spans="1:2" x14ac:dyDescent="0.25">
      <c r="A84" s="90">
        <v>1507</v>
      </c>
      <c r="B84" t="str">
        <f>+VLOOKUP(A84,EFFECTIF!A:B,2,FALSE)</f>
        <v>AZAMMOR</v>
      </c>
    </row>
    <row r="85" spans="1:2" x14ac:dyDescent="0.25">
      <c r="A85" s="90">
        <v>1508</v>
      </c>
      <c r="B85" t="str">
        <f>+VLOOKUP(A85,EFFECTIF!A:B,2,FALSE)</f>
        <v>EL BADMOUSSI</v>
      </c>
    </row>
    <row r="86" spans="1:2" x14ac:dyDescent="0.25">
      <c r="A86" s="90">
        <v>1513</v>
      </c>
      <c r="B86" t="str">
        <f>+VLOOKUP(A86,EFFECTIF!A:B,2,FALSE)</f>
        <v>BOULMANE</v>
      </c>
    </row>
    <row r="87" spans="1:2" x14ac:dyDescent="0.25">
      <c r="A87" s="90">
        <v>1514</v>
      </c>
      <c r="B87" t="str">
        <f>+VLOOKUP(A87,EFFECTIF!A:B,2,FALSE)</f>
        <v>EL-MORSLI</v>
      </c>
    </row>
    <row r="88" spans="1:2" x14ac:dyDescent="0.25">
      <c r="A88" s="90">
        <v>1515</v>
      </c>
      <c r="B88" t="str">
        <f>+VLOOKUP(A88,EFFECTIF!A:B,2,FALSE)</f>
        <v>AMJOUD</v>
      </c>
    </row>
    <row r="89" spans="1:2" x14ac:dyDescent="0.25">
      <c r="A89" s="90">
        <v>1516</v>
      </c>
      <c r="B89" t="str">
        <f>+VLOOKUP(A89,EFFECTIF!A:B,2,FALSE)</f>
        <v>BOUHASSOUN</v>
      </c>
    </row>
    <row r="90" spans="1:2" x14ac:dyDescent="0.25">
      <c r="A90" s="90">
        <v>1525</v>
      </c>
      <c r="B90" t="str">
        <f>+VLOOKUP(A90,EFFECTIF!A:B,2,FALSE)</f>
        <v>KHLAIF</v>
      </c>
    </row>
    <row r="91" spans="1:2" x14ac:dyDescent="0.25">
      <c r="A91" s="90">
        <v>1532</v>
      </c>
      <c r="B91" t="str">
        <f>+VLOOKUP(A91,EFFECTIF!A:B,2,FALSE)</f>
        <v>ALLOU</v>
      </c>
    </row>
    <row r="92" spans="1:2" x14ac:dyDescent="0.25">
      <c r="A92" s="90">
        <v>1536</v>
      </c>
      <c r="B92" t="str">
        <f>+VLOOKUP(A92,EFFECTIF!A:B,2,FALSE)</f>
        <v>KABBOUCH</v>
      </c>
    </row>
    <row r="93" spans="1:2" x14ac:dyDescent="0.25">
      <c r="A93" s="90">
        <v>1537</v>
      </c>
      <c r="B93" t="str">
        <f>+VLOOKUP(A93,EFFECTIF!A:B,2,FALSE)</f>
        <v>OUASS</v>
      </c>
    </row>
    <row r="94" spans="1:2" x14ac:dyDescent="0.25">
      <c r="A94" s="90">
        <v>1538</v>
      </c>
      <c r="B94" t="str">
        <f>+VLOOKUP(A94,EFFECTIF!A:B,2,FALSE)</f>
        <v>TABARRANT</v>
      </c>
    </row>
    <row r="95" spans="1:2" x14ac:dyDescent="0.25">
      <c r="A95" s="90">
        <v>1552</v>
      </c>
      <c r="B95" t="str">
        <f>+VLOOKUP(A95,EFFECTIF!A:B,2,FALSE)</f>
        <v>AZDAD</v>
      </c>
    </row>
    <row r="96" spans="1:2" x14ac:dyDescent="0.25">
      <c r="A96" s="90">
        <v>1559</v>
      </c>
      <c r="B96" t="str">
        <f>+VLOOKUP(A96,EFFECTIF!A:B,2,FALSE)</f>
        <v>BOUHRICHE</v>
      </c>
    </row>
    <row r="97" spans="1:2" x14ac:dyDescent="0.25">
      <c r="A97" s="90">
        <v>1565</v>
      </c>
      <c r="B97" t="str">
        <f>+VLOOKUP(A97,EFFECTIF!A:B,2,FALSE)</f>
        <v>BENALI</v>
      </c>
    </row>
    <row r="98" spans="1:2" x14ac:dyDescent="0.25">
      <c r="A98" s="90">
        <v>1571</v>
      </c>
      <c r="B98" t="str">
        <f>+VLOOKUP(A98,EFFECTIF!A:B,2,FALSE)</f>
        <v>KANDANI</v>
      </c>
    </row>
    <row r="99" spans="1:2" x14ac:dyDescent="0.25">
      <c r="A99" s="90">
        <v>1578</v>
      </c>
      <c r="B99" t="str">
        <f>+VLOOKUP(A99,EFFECTIF!A:B,2,FALSE)</f>
        <v>BOUTOUATOU</v>
      </c>
    </row>
    <row r="100" spans="1:2" x14ac:dyDescent="0.25">
      <c r="A100" s="90">
        <v>1594</v>
      </c>
      <c r="B100" t="str">
        <f>+VLOOKUP(A100,EFFECTIF!A:B,2,FALSE)</f>
        <v>OUTAASSOUTE</v>
      </c>
    </row>
    <row r="101" spans="1:2" x14ac:dyDescent="0.25">
      <c r="A101" s="90">
        <v>1595</v>
      </c>
      <c r="B101" t="str">
        <f>+VLOOKUP(A101,EFFECTIF!A:B,2,FALSE)</f>
        <v>BUYGAYDAN</v>
      </c>
    </row>
    <row r="102" spans="1:2" x14ac:dyDescent="0.25">
      <c r="A102" s="90">
        <v>1627</v>
      </c>
      <c r="B102" t="str">
        <f>+VLOOKUP(A102,EFFECTIF!A:B,2,FALSE)</f>
        <v>MOULAY</v>
      </c>
    </row>
    <row r="103" spans="1:2" x14ac:dyDescent="0.25">
      <c r="A103" s="90">
        <v>1628</v>
      </c>
      <c r="B103" t="str">
        <f>+VLOOKUP(A103,EFFECTIF!A:B,2,FALSE)</f>
        <v>ECH-CHAYKH</v>
      </c>
    </row>
    <row r="104" spans="1:2" x14ac:dyDescent="0.25">
      <c r="A104" s="90">
        <v>1629</v>
      </c>
      <c r="B104" t="str">
        <f>+VLOOKUP(A104,EFFECTIF!A:B,2,FALSE)</f>
        <v>DAOUDI</v>
      </c>
    </row>
    <row r="105" spans="1:2" x14ac:dyDescent="0.25">
      <c r="A105" s="90">
        <v>1630</v>
      </c>
      <c r="B105" t="str">
        <f>+VLOOKUP(A105,EFFECTIF!A:B,2,FALSE)</f>
        <v>DRAOUI</v>
      </c>
    </row>
    <row r="106" spans="1:2" x14ac:dyDescent="0.25">
      <c r="A106" s="90">
        <v>1632</v>
      </c>
      <c r="B106" t="str">
        <f>+VLOOKUP(A106,EFFECTIF!A:B,2,FALSE)</f>
        <v>BOUZEGGOU</v>
      </c>
    </row>
    <row r="107" spans="1:2" x14ac:dyDescent="0.25">
      <c r="A107" s="90">
        <v>1633</v>
      </c>
      <c r="B107" t="str">
        <f>+VLOOKUP(A107,EFFECTIF!A:B,2,FALSE)</f>
        <v>BAHADI</v>
      </c>
    </row>
    <row r="108" spans="1:2" x14ac:dyDescent="0.25">
      <c r="A108" s="90">
        <v>1637</v>
      </c>
      <c r="B108" t="str">
        <f>+VLOOKUP(A108,EFFECTIF!A:B,2,FALSE)</f>
        <v>EL AMINE</v>
      </c>
    </row>
    <row r="109" spans="1:2" x14ac:dyDescent="0.25">
      <c r="A109" s="90">
        <v>1645</v>
      </c>
      <c r="B109" t="str">
        <f>+VLOOKUP(A109,EFFECTIF!A:B,2,FALSE)</f>
        <v>NECHAF</v>
      </c>
    </row>
    <row r="110" spans="1:2" x14ac:dyDescent="0.25">
      <c r="A110" s="90">
        <v>1672</v>
      </c>
      <c r="B110" t="str">
        <f>+VLOOKUP(A110,EFFECTIF!A:B,2,FALSE)</f>
        <v>CHIGUER</v>
      </c>
    </row>
    <row r="111" spans="1:2" x14ac:dyDescent="0.25">
      <c r="A111" s="90">
        <v>1673</v>
      </c>
      <c r="B111" t="str">
        <f>+VLOOKUP(A111,EFFECTIF!A:B,2,FALSE)</f>
        <v>CHAOUQUI</v>
      </c>
    </row>
    <row r="112" spans="1:2" x14ac:dyDescent="0.25">
      <c r="A112" s="90">
        <v>1683</v>
      </c>
      <c r="B112" t="str">
        <f>+VLOOKUP(A112,EFFECTIF!A:B,2,FALSE)</f>
        <v>TAHIRI</v>
      </c>
    </row>
    <row r="113" spans="1:2" x14ac:dyDescent="0.25">
      <c r="A113" s="90">
        <v>1686</v>
      </c>
      <c r="B113" t="str">
        <f>+VLOOKUP(A113,EFFECTIF!A:B,2,FALSE)</f>
        <v>BARRAHO</v>
      </c>
    </row>
    <row r="114" spans="1:2" x14ac:dyDescent="0.25">
      <c r="A114" s="90">
        <v>1687</v>
      </c>
      <c r="B114" t="str">
        <f>+VLOOKUP(A114,EFFECTIF!A:B,2,FALSE)</f>
        <v>LABRIKI</v>
      </c>
    </row>
    <row r="115" spans="1:2" x14ac:dyDescent="0.25">
      <c r="A115" s="90">
        <v>1695</v>
      </c>
      <c r="B115" t="str">
        <f>+VLOOKUP(A115,EFFECTIF!A:B,2,FALSE)</f>
        <v>DOUIRI</v>
      </c>
    </row>
    <row r="116" spans="1:2" x14ac:dyDescent="0.25">
      <c r="A116" s="90">
        <v>1696</v>
      </c>
      <c r="B116" t="str">
        <f>+VLOOKUP(A116,EFFECTIF!A:B,2,FALSE)</f>
        <v>MAHI</v>
      </c>
    </row>
    <row r="117" spans="1:2" x14ac:dyDescent="0.25">
      <c r="A117" s="90">
        <v>1697</v>
      </c>
      <c r="B117" t="str">
        <f>+VLOOKUP(A117,EFFECTIF!A:B,2,FALSE)</f>
        <v>TOUIL</v>
      </c>
    </row>
    <row r="118" spans="1:2" x14ac:dyDescent="0.25">
      <c r="A118" s="90">
        <v>1698</v>
      </c>
      <c r="B118" t="str">
        <f>+VLOOKUP(A118,EFFECTIF!A:B,2,FALSE)</f>
        <v>KOUBIY</v>
      </c>
    </row>
    <row r="119" spans="1:2" x14ac:dyDescent="0.25">
      <c r="A119" s="90">
        <v>1713</v>
      </c>
      <c r="B119" t="str">
        <f>+VLOOKUP(A119,EFFECTIF!A:B,2,FALSE)</f>
        <v>OUAHHAB</v>
      </c>
    </row>
    <row r="120" spans="1:2" x14ac:dyDescent="0.25">
      <c r="A120" s="90">
        <v>1714</v>
      </c>
      <c r="B120" t="str">
        <f>+VLOOKUP(A120,EFFECTIF!A:B,2,FALSE)</f>
        <v>BOUCHAFRA</v>
      </c>
    </row>
    <row r="121" spans="1:2" x14ac:dyDescent="0.25">
      <c r="A121" s="90">
        <v>1715</v>
      </c>
      <c r="B121" t="str">
        <f>+VLOOKUP(A121,EFFECTIF!A:B,2,FALSE)</f>
        <v>ZOUINE</v>
      </c>
    </row>
    <row r="122" spans="1:2" x14ac:dyDescent="0.25">
      <c r="A122" s="90">
        <v>1716</v>
      </c>
      <c r="B122" t="str">
        <f>+VLOOKUP(A122,EFFECTIF!A:B,2,FALSE)</f>
        <v>HABSAOUI</v>
      </c>
    </row>
    <row r="123" spans="1:2" x14ac:dyDescent="0.25">
      <c r="A123" s="90">
        <v>1717</v>
      </c>
      <c r="B123" t="str">
        <f>+VLOOKUP(A123,EFFECTIF!A:B,2,FALSE)</f>
        <v>KARROUM</v>
      </c>
    </row>
    <row r="124" spans="1:2" x14ac:dyDescent="0.25">
      <c r="A124" s="90">
        <v>1718</v>
      </c>
      <c r="B124" t="str">
        <f>+VLOOKUP(A124,EFFECTIF!A:B,2,FALSE)</f>
        <v>LAKHDAR</v>
      </c>
    </row>
    <row r="125" spans="1:2" x14ac:dyDescent="0.25">
      <c r="A125" s="90">
        <v>1719</v>
      </c>
      <c r="B125" t="str">
        <f>+VLOOKUP(A125,EFFECTIF!A:B,2,FALSE)</f>
        <v>SABRI</v>
      </c>
    </row>
    <row r="126" spans="1:2" x14ac:dyDescent="0.25">
      <c r="A126" s="90">
        <v>1720</v>
      </c>
      <c r="B126" t="str">
        <f>+VLOOKUP(A126,EFFECTIF!A:B,2,FALSE)</f>
        <v>ETTADLAOUY</v>
      </c>
    </row>
    <row r="127" spans="1:2" x14ac:dyDescent="0.25">
      <c r="A127" s="90">
        <v>1738</v>
      </c>
      <c r="B127" t="str">
        <f>+VLOOKUP(A127,EFFECTIF!A:B,2,FALSE)</f>
        <v>MARCHOUHI</v>
      </c>
    </row>
    <row r="128" spans="1:2" x14ac:dyDescent="0.25">
      <c r="A128" s="90">
        <v>1739</v>
      </c>
      <c r="B128" t="str">
        <f>+VLOOKUP(A128,EFFECTIF!A:B,2,FALSE)</f>
        <v>BOUCHKHACHAKH</v>
      </c>
    </row>
    <row r="129" spans="1:2" x14ac:dyDescent="0.25">
      <c r="A129" s="90">
        <v>1752</v>
      </c>
      <c r="B129" t="str">
        <f>+VLOOKUP(A129,EFFECTIF!A:B,2,FALSE)</f>
        <v>AIT HAQQI</v>
      </c>
    </row>
    <row r="130" spans="1:2" x14ac:dyDescent="0.25">
      <c r="A130" s="90">
        <v>1753</v>
      </c>
      <c r="B130" t="str">
        <f>+VLOOKUP(A130,EFFECTIF!A:B,2,FALSE)</f>
        <v>LAMSADDER</v>
      </c>
    </row>
    <row r="131" spans="1:2" x14ac:dyDescent="0.25">
      <c r="A131" s="90">
        <v>1754</v>
      </c>
      <c r="B131" t="str">
        <f>+VLOOKUP(A131,EFFECTIF!A:B,2,FALSE)</f>
        <v>BENZAYYAN</v>
      </c>
    </row>
    <row r="132" spans="1:2" x14ac:dyDescent="0.25">
      <c r="A132" s="90">
        <v>1755</v>
      </c>
      <c r="B132" t="str">
        <f>+VLOOKUP(A132,EFFECTIF!A:B,2,FALSE)</f>
        <v>KHALIFI</v>
      </c>
    </row>
    <row r="133" spans="1:2" x14ac:dyDescent="0.25">
      <c r="A133" s="90">
        <v>1756</v>
      </c>
      <c r="B133" t="str">
        <f>+VLOOKUP(A133,EFFECTIF!A:B,2,FALSE)</f>
        <v>AMMARI</v>
      </c>
    </row>
    <row r="134" spans="1:2" x14ac:dyDescent="0.25">
      <c r="A134" s="90">
        <v>1757</v>
      </c>
      <c r="B134" t="str">
        <f>+VLOOKUP(A134,EFFECTIF!A:B,2,FALSE)</f>
        <v>ZIDAN</v>
      </c>
    </row>
    <row r="135" spans="1:2" x14ac:dyDescent="0.25">
      <c r="A135" s="90">
        <v>1758</v>
      </c>
      <c r="B135" t="str">
        <f>+VLOOKUP(A135,EFFECTIF!A:B,2,FALSE)</f>
        <v>CHOUDNA</v>
      </c>
    </row>
    <row r="136" spans="1:2" x14ac:dyDescent="0.25">
      <c r="A136" s="90">
        <v>1759</v>
      </c>
      <c r="B136" t="str">
        <f>+VLOOKUP(A136,EFFECTIF!A:B,2,FALSE)</f>
        <v>KERMAOUI</v>
      </c>
    </row>
    <row r="137" spans="1:2" x14ac:dyDescent="0.25">
      <c r="A137" s="90">
        <v>1760</v>
      </c>
      <c r="B137" t="str">
        <f>+VLOOKUP(A137,EFFECTIF!A:B,2,FALSE)</f>
        <v>BOULGHOUDAN</v>
      </c>
    </row>
    <row r="138" spans="1:2" x14ac:dyDescent="0.25">
      <c r="A138" s="90">
        <v>1769</v>
      </c>
      <c r="B138" t="str">
        <f>+VLOOKUP(A138,EFFECTIF!A:B,2,FALSE)</f>
        <v>HAJJOUBI</v>
      </c>
    </row>
  </sheetData>
  <autoFilter ref="A1:B138" xr:uid="{4E4B7748-02B9-4386-A94F-00047B9A996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d273a-1cec-4aae-a297-41480ea54f8d}" enabled="0" method="" siteId="{37cd273a-1cec-4aae-a297-41480ea54f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TDB</vt:lpstr>
      <vt:lpstr>EFFECTIF</vt:lpstr>
      <vt:lpstr>Feuil3</vt:lpstr>
      <vt:lpstr>Feuil1</vt:lpstr>
      <vt:lpstr>Pyramide age</vt:lpstr>
      <vt:lpstr>WFP</vt:lpstr>
      <vt:lpstr>Paramètres</vt:lpstr>
      <vt:lpstr>mouvement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NASRI Anouar</dc:creator>
  <cp:keywords/>
  <dc:description/>
  <cp:lastModifiedBy>Marsak, Kanza</cp:lastModifiedBy>
  <cp:revision/>
  <dcterms:created xsi:type="dcterms:W3CDTF">2017-11-27T09:32:14Z</dcterms:created>
  <dcterms:modified xsi:type="dcterms:W3CDTF">2026-07-07T12:17:32Z</dcterms:modified>
  <cp:category/>
  <cp:contentStatus/>
</cp:coreProperties>
</file>